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andrasarmiento/Simuladores/"/>
    </mc:Choice>
  </mc:AlternateContent>
  <xr:revisionPtr revIDLastSave="0" documentId="13_ncr:1_{DCADC07C-E710-EC4E-BC77-0CB469B3223D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Recursos invertidos" sheetId="1" r:id="rId1"/>
    <sheet name="Fuente" sheetId="6" r:id="rId2"/>
    <sheet name="Unidades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9" roundtripDataSignature="AMtx7mhRxKzSi1PINqwFjhhrufvejZI5oQ=="/>
    </ext>
  </extLst>
</workbook>
</file>

<file path=xl/calcChain.xml><?xml version="1.0" encoding="utf-8"?>
<calcChain xmlns="http://schemas.openxmlformats.org/spreadsheetml/2006/main">
  <c r="G5" i="1" l="1"/>
  <c r="C25" i="1"/>
  <c r="B29" i="1"/>
  <c r="B27" i="1"/>
  <c r="B25" i="1"/>
  <c r="D1103" i="7"/>
  <c r="H1103" i="7"/>
  <c r="D1104" i="7"/>
  <c r="H1104" i="7"/>
  <c r="D1105" i="7"/>
  <c r="H1105" i="7"/>
  <c r="D1106" i="7"/>
  <c r="H1106" i="7"/>
  <c r="D1107" i="7"/>
  <c r="H1107" i="7"/>
  <c r="D1108" i="7"/>
  <c r="H1108" i="7"/>
  <c r="D1109" i="7"/>
  <c r="H1109" i="7"/>
  <c r="D1110" i="7"/>
  <c r="H1110" i="7"/>
  <c r="D1111" i="7"/>
  <c r="H1111" i="7"/>
  <c r="D1112" i="7"/>
  <c r="H1112" i="7"/>
  <c r="D1113" i="7"/>
  <c r="H1113" i="7"/>
  <c r="D1114" i="7"/>
  <c r="H1114" i="7"/>
  <c r="D1115" i="7"/>
  <c r="H1115" i="7"/>
  <c r="D1116" i="7"/>
  <c r="H1116" i="7"/>
  <c r="D1117" i="7"/>
  <c r="H1117" i="7"/>
  <c r="D1118" i="7"/>
  <c r="H1118" i="7"/>
  <c r="D1119" i="7"/>
  <c r="H1119" i="7"/>
  <c r="D1120" i="7"/>
  <c r="H1120" i="7"/>
  <c r="D1121" i="7"/>
  <c r="H1121" i="7"/>
  <c r="D1122" i="7"/>
  <c r="H1122" i="7"/>
  <c r="D1123" i="7"/>
  <c r="H1123" i="7"/>
  <c r="D1124" i="7"/>
  <c r="H1124" i="7"/>
  <c r="D1125" i="7"/>
  <c r="H1125" i="7"/>
  <c r="D1126" i="7"/>
  <c r="H1126" i="7"/>
  <c r="D1127" i="7"/>
  <c r="H1127" i="7"/>
  <c r="D1128" i="7"/>
  <c r="H1128" i="7"/>
  <c r="D1129" i="7"/>
  <c r="H1129" i="7"/>
  <c r="D1130" i="7"/>
  <c r="H1130" i="7"/>
  <c r="D1131" i="7"/>
  <c r="H1131" i="7"/>
  <c r="D1132" i="7"/>
  <c r="H1132" i="7"/>
  <c r="D1133" i="7"/>
  <c r="H1133" i="7"/>
  <c r="D1134" i="7"/>
  <c r="H1134" i="7"/>
  <c r="D1135" i="7"/>
  <c r="H1135" i="7"/>
  <c r="D1136" i="7"/>
  <c r="H1136" i="7"/>
  <c r="D1137" i="7"/>
  <c r="H1137" i="7"/>
  <c r="D1138" i="7"/>
  <c r="H1138" i="7"/>
  <c r="D1139" i="7"/>
  <c r="H1139" i="7"/>
  <c r="D1140" i="7"/>
  <c r="H1140" i="7"/>
  <c r="D1141" i="7"/>
  <c r="H1141" i="7"/>
  <c r="D1142" i="7"/>
  <c r="H1142" i="7"/>
  <c r="D1143" i="7"/>
  <c r="H1143" i="7"/>
  <c r="D1144" i="7"/>
  <c r="H1144" i="7"/>
  <c r="D1145" i="7"/>
  <c r="H1145" i="7"/>
  <c r="D1146" i="7"/>
  <c r="H1146" i="7"/>
  <c r="D1147" i="7"/>
  <c r="H1147" i="7"/>
  <c r="D1148" i="7"/>
  <c r="H1148" i="7"/>
  <c r="D1149" i="7"/>
  <c r="H1149" i="7"/>
  <c r="D1150" i="7"/>
  <c r="H1150" i="7"/>
  <c r="D1151" i="7"/>
  <c r="H1151" i="7"/>
  <c r="D1152" i="7"/>
  <c r="H1152" i="7"/>
  <c r="D1153" i="7"/>
  <c r="H1153" i="7"/>
  <c r="D1154" i="7"/>
  <c r="H1154" i="7"/>
  <c r="D1155" i="7"/>
  <c r="H1155" i="7"/>
  <c r="D1156" i="7"/>
  <c r="H1156" i="7"/>
  <c r="D1157" i="7"/>
  <c r="H1157" i="7"/>
  <c r="D1158" i="7"/>
  <c r="H1158" i="7"/>
  <c r="D1159" i="7"/>
  <c r="H1159" i="7"/>
  <c r="D1160" i="7"/>
  <c r="H1160" i="7"/>
  <c r="D1161" i="7"/>
  <c r="H1161" i="7"/>
  <c r="D1162" i="7"/>
  <c r="H1162" i="7"/>
  <c r="D1163" i="7"/>
  <c r="H1163" i="7"/>
  <c r="D1164" i="7"/>
  <c r="H1164" i="7"/>
  <c r="D1165" i="7"/>
  <c r="H1165" i="7"/>
  <c r="D1166" i="7"/>
  <c r="H1166" i="7"/>
  <c r="D1167" i="7"/>
  <c r="H1167" i="7"/>
  <c r="D1168" i="7"/>
  <c r="H1168" i="7"/>
  <c r="D1169" i="7"/>
  <c r="H1169" i="7"/>
  <c r="D1170" i="7"/>
  <c r="H1170" i="7"/>
  <c r="D1171" i="7"/>
  <c r="H1171" i="7"/>
  <c r="D1172" i="7"/>
  <c r="H1172" i="7"/>
  <c r="D1173" i="7"/>
  <c r="H1173" i="7"/>
  <c r="D1174" i="7"/>
  <c r="H1174" i="7"/>
  <c r="D1175" i="7"/>
  <c r="H1175" i="7"/>
  <c r="D1176" i="7"/>
  <c r="H1176" i="7"/>
  <c r="D1177" i="7"/>
  <c r="H1177" i="7"/>
  <c r="D1178" i="7"/>
  <c r="H1178" i="7"/>
  <c r="D1179" i="7"/>
  <c r="H1179" i="7"/>
  <c r="D1180" i="7"/>
  <c r="H1180" i="7"/>
  <c r="D1181" i="7"/>
  <c r="H1181" i="7"/>
  <c r="D1182" i="7"/>
  <c r="H1182" i="7"/>
  <c r="D1183" i="7"/>
  <c r="H1183" i="7"/>
  <c r="D1184" i="7"/>
  <c r="H1184" i="7"/>
  <c r="D1185" i="7"/>
  <c r="H1185" i="7"/>
  <c r="D1186" i="7"/>
  <c r="H1186" i="7"/>
  <c r="D1187" i="7"/>
  <c r="H1187" i="7"/>
  <c r="D1188" i="7"/>
  <c r="H1188" i="7"/>
  <c r="D1189" i="7"/>
  <c r="H1189" i="7"/>
  <c r="D1190" i="7"/>
  <c r="H1190" i="7"/>
  <c r="D1191" i="7"/>
  <c r="H1191" i="7"/>
  <c r="D1192" i="7"/>
  <c r="H1192" i="7"/>
  <c r="D1193" i="7"/>
  <c r="H1193" i="7"/>
  <c r="D1194" i="7"/>
  <c r="H1194" i="7"/>
  <c r="D1195" i="7"/>
  <c r="C38" i="1" s="1"/>
  <c r="H1195" i="7"/>
  <c r="D1196" i="7"/>
  <c r="H1196" i="7"/>
  <c r="D1197" i="7"/>
  <c r="H1197" i="7"/>
  <c r="D1198" i="7"/>
  <c r="H1198" i="7"/>
  <c r="D1199" i="7"/>
  <c r="H1199" i="7"/>
  <c r="D1200" i="7"/>
  <c r="H1200" i="7"/>
  <c r="D1201" i="7"/>
  <c r="H1201" i="7"/>
  <c r="D1202" i="7"/>
  <c r="H1202" i="7"/>
  <c r="D1203" i="7"/>
  <c r="H1203" i="7"/>
  <c r="D1204" i="7"/>
  <c r="H1204" i="7"/>
  <c r="D1205" i="7"/>
  <c r="H1205" i="7"/>
  <c r="D1206" i="7"/>
  <c r="H1206" i="7"/>
  <c r="D1207" i="7"/>
  <c r="H1207" i="7"/>
  <c r="D1208" i="7"/>
  <c r="H1208" i="7"/>
  <c r="D1209" i="7"/>
  <c r="H1209" i="7"/>
  <c r="D1210" i="7"/>
  <c r="H1210" i="7"/>
  <c r="D1211" i="7"/>
  <c r="H1211" i="7"/>
  <c r="D1212" i="7"/>
  <c r="H1212" i="7"/>
  <c r="D1213" i="7"/>
  <c r="H1213" i="7"/>
  <c r="D1214" i="7"/>
  <c r="H1214" i="7"/>
  <c r="D1215" i="7"/>
  <c r="H1215" i="7"/>
  <c r="D1216" i="7"/>
  <c r="H1216" i="7"/>
  <c r="D1217" i="7"/>
  <c r="H1217" i="7"/>
  <c r="D1218" i="7"/>
  <c r="H1218" i="7"/>
  <c r="D1219" i="7"/>
  <c r="H1219" i="7"/>
  <c r="D1220" i="7"/>
  <c r="H1220" i="7"/>
  <c r="D1221" i="7"/>
  <c r="H1221" i="7"/>
  <c r="D1222" i="7"/>
  <c r="H1222" i="7"/>
  <c r="D1223" i="7"/>
  <c r="H1223" i="7"/>
  <c r="D1224" i="7"/>
  <c r="H1224" i="7"/>
  <c r="D1225" i="7"/>
  <c r="H1225" i="7"/>
  <c r="D1226" i="7"/>
  <c r="H1226" i="7"/>
  <c r="D1227" i="7"/>
  <c r="H1227" i="7"/>
  <c r="D1228" i="7"/>
  <c r="H1228" i="7"/>
  <c r="D1229" i="7"/>
  <c r="H1229" i="7"/>
  <c r="D1230" i="7"/>
  <c r="H1230" i="7"/>
  <c r="D1231" i="7"/>
  <c r="H1231" i="7"/>
  <c r="D1232" i="7"/>
  <c r="H1232" i="7"/>
  <c r="D1233" i="7"/>
  <c r="H1233" i="7"/>
  <c r="D1234" i="7"/>
  <c r="H1234" i="7"/>
  <c r="D1235" i="7"/>
  <c r="H1235" i="7"/>
  <c r="D1236" i="7"/>
  <c r="H1236" i="7"/>
  <c r="D1237" i="7"/>
  <c r="H1237" i="7"/>
  <c r="D1238" i="7"/>
  <c r="H1238" i="7"/>
  <c r="D1239" i="7"/>
  <c r="H1239" i="7"/>
  <c r="D1240" i="7"/>
  <c r="H1240" i="7"/>
  <c r="D1241" i="7"/>
  <c r="H1241" i="7"/>
  <c r="D1242" i="7"/>
  <c r="H1242" i="7"/>
  <c r="D1243" i="7"/>
  <c r="H1243" i="7"/>
  <c r="D1244" i="7"/>
  <c r="H1244" i="7"/>
  <c r="D1245" i="7"/>
  <c r="H1245" i="7"/>
  <c r="D1246" i="7"/>
  <c r="H1246" i="7"/>
  <c r="D1247" i="7"/>
  <c r="H1247" i="7"/>
  <c r="D1248" i="7"/>
  <c r="H1248" i="7"/>
  <c r="D1249" i="7"/>
  <c r="H1249" i="7"/>
  <c r="D1250" i="7"/>
  <c r="H1250" i="7"/>
  <c r="D1251" i="7"/>
  <c r="H1251" i="7"/>
  <c r="D1252" i="7"/>
  <c r="H1252" i="7"/>
  <c r="D1253" i="7"/>
  <c r="H1253" i="7"/>
  <c r="D1254" i="7"/>
  <c r="H1254" i="7"/>
  <c r="D1255" i="7"/>
  <c r="H1255" i="7"/>
  <c r="D1256" i="7"/>
  <c r="H1256" i="7"/>
  <c r="D1257" i="7"/>
  <c r="H1257" i="7"/>
  <c r="D1258" i="7"/>
  <c r="H1258" i="7"/>
  <c r="D1259" i="7"/>
  <c r="H1259" i="7"/>
  <c r="D1260" i="7"/>
  <c r="H1260" i="7"/>
  <c r="D1261" i="7"/>
  <c r="H1261" i="7"/>
  <c r="D1262" i="7"/>
  <c r="H1262" i="7"/>
  <c r="D1263" i="7"/>
  <c r="H1263" i="7"/>
  <c r="D1264" i="7"/>
  <c r="H1264" i="7"/>
  <c r="D1265" i="7"/>
  <c r="H1265" i="7"/>
  <c r="D1266" i="7"/>
  <c r="H1266" i="7"/>
  <c r="D1267" i="7"/>
  <c r="H1267" i="7"/>
  <c r="D1268" i="7"/>
  <c r="H1268" i="7"/>
  <c r="D1269" i="7"/>
  <c r="H1269" i="7"/>
  <c r="D1270" i="7"/>
  <c r="H1270" i="7"/>
  <c r="D1271" i="7"/>
  <c r="H1271" i="7"/>
  <c r="D1272" i="7"/>
  <c r="H1272" i="7"/>
  <c r="D1273" i="7"/>
  <c r="H1273" i="7"/>
  <c r="D1274" i="7"/>
  <c r="H1274" i="7"/>
  <c r="D1275" i="7"/>
  <c r="H1275" i="7"/>
  <c r="D1276" i="7"/>
  <c r="H1276" i="7"/>
  <c r="D1277" i="7"/>
  <c r="H1277" i="7"/>
  <c r="D1278" i="7"/>
  <c r="H1278" i="7"/>
  <c r="D1279" i="7"/>
  <c r="H1279" i="7"/>
  <c r="D1280" i="7"/>
  <c r="H1280" i="7"/>
  <c r="D1281" i="7"/>
  <c r="H1281" i="7"/>
  <c r="D1282" i="7"/>
  <c r="H1282" i="7"/>
  <c r="D1283" i="7"/>
  <c r="H1283" i="7"/>
  <c r="D1284" i="7"/>
  <c r="H1284" i="7"/>
  <c r="D1285" i="7"/>
  <c r="H1285" i="7"/>
  <c r="D1286" i="7"/>
  <c r="H1286" i="7"/>
  <c r="D1287" i="7"/>
  <c r="H1287" i="7"/>
  <c r="D1288" i="7"/>
  <c r="H1288" i="7"/>
  <c r="D1289" i="7"/>
  <c r="H1289" i="7"/>
  <c r="D1290" i="7"/>
  <c r="H1290" i="7"/>
  <c r="D1291" i="7"/>
  <c r="H1291" i="7"/>
  <c r="D1292" i="7"/>
  <c r="H1292" i="7"/>
  <c r="D1293" i="7"/>
  <c r="H1293" i="7"/>
  <c r="D1294" i="7"/>
  <c r="H1294" i="7"/>
  <c r="D1295" i="7"/>
  <c r="H1295" i="7"/>
  <c r="D1296" i="7"/>
  <c r="H1296" i="7"/>
  <c r="D1297" i="7"/>
  <c r="H1297" i="7"/>
  <c r="D1298" i="7"/>
  <c r="H1298" i="7"/>
  <c r="D1299" i="7"/>
  <c r="H1299" i="7"/>
  <c r="D1300" i="7"/>
  <c r="H1300" i="7"/>
  <c r="D1301" i="7"/>
  <c r="H1301" i="7"/>
  <c r="D1302" i="7"/>
  <c r="H1302" i="7"/>
  <c r="D1303" i="7"/>
  <c r="H1303" i="7"/>
  <c r="D1304" i="7"/>
  <c r="H1304" i="7"/>
  <c r="D1305" i="7"/>
  <c r="H1305" i="7"/>
  <c r="D1306" i="7"/>
  <c r="H1306" i="7"/>
  <c r="D1307" i="7"/>
  <c r="H1307" i="7"/>
  <c r="D1308" i="7"/>
  <c r="H1308" i="7"/>
  <c r="D1309" i="7"/>
  <c r="H1309" i="7"/>
  <c r="D1310" i="7"/>
  <c r="H1310" i="7"/>
  <c r="D1311" i="7"/>
  <c r="H1311" i="7"/>
  <c r="D1312" i="7"/>
  <c r="H1312" i="7"/>
  <c r="D1313" i="7"/>
  <c r="H1313" i="7"/>
  <c r="D1314" i="7"/>
  <c r="H1314" i="7"/>
  <c r="D1315" i="7"/>
  <c r="H1315" i="7"/>
  <c r="D1316" i="7"/>
  <c r="H1316" i="7"/>
  <c r="D1317" i="7"/>
  <c r="H1317" i="7"/>
  <c r="D1318" i="7"/>
  <c r="H1318" i="7"/>
  <c r="D1319" i="7"/>
  <c r="H1319" i="7"/>
  <c r="D1320" i="7"/>
  <c r="H1320" i="7"/>
  <c r="D1321" i="7"/>
  <c r="H1321" i="7"/>
  <c r="D1322" i="7"/>
  <c r="H1322" i="7"/>
  <c r="D1323" i="7"/>
  <c r="H1323" i="7"/>
  <c r="D1324" i="7"/>
  <c r="H1324" i="7"/>
  <c r="D1325" i="7"/>
  <c r="H1325" i="7"/>
  <c r="D1326" i="7"/>
  <c r="H1326" i="7"/>
  <c r="D1327" i="7"/>
  <c r="H1327" i="7"/>
  <c r="D1328" i="7"/>
  <c r="H1328" i="7"/>
  <c r="D1329" i="7"/>
  <c r="H1329" i="7"/>
  <c r="D1330" i="7"/>
  <c r="H1330" i="7"/>
  <c r="D1331" i="7"/>
  <c r="H1331" i="7"/>
  <c r="D1332" i="7"/>
  <c r="H1332" i="7"/>
  <c r="D1333" i="7"/>
  <c r="H1333" i="7"/>
  <c r="D1334" i="7"/>
  <c r="H1334" i="7"/>
  <c r="D1335" i="7"/>
  <c r="H1335" i="7"/>
  <c r="D1336" i="7"/>
  <c r="H1336" i="7"/>
  <c r="D1337" i="7"/>
  <c r="H1337" i="7"/>
  <c r="D1338" i="7"/>
  <c r="H1338" i="7"/>
  <c r="D1339" i="7"/>
  <c r="H1339" i="7"/>
  <c r="D1340" i="7"/>
  <c r="H1340" i="7"/>
  <c r="D1341" i="7"/>
  <c r="H1341" i="7"/>
  <c r="D1342" i="7"/>
  <c r="H1342" i="7"/>
  <c r="D1343" i="7"/>
  <c r="H1343" i="7"/>
  <c r="D1344" i="7"/>
  <c r="H1344" i="7"/>
  <c r="D1345" i="7"/>
  <c r="H1345" i="7"/>
  <c r="D1346" i="7"/>
  <c r="H1346" i="7"/>
  <c r="D1347" i="7"/>
  <c r="H1347" i="7"/>
  <c r="D1348" i="7"/>
  <c r="H1348" i="7"/>
  <c r="D1349" i="7"/>
  <c r="H1349" i="7"/>
  <c r="D1350" i="7"/>
  <c r="H1350" i="7"/>
  <c r="D1351" i="7"/>
  <c r="H1351" i="7"/>
  <c r="D1352" i="7"/>
  <c r="H1352" i="7"/>
  <c r="D1353" i="7"/>
  <c r="H1353" i="7"/>
  <c r="D1354" i="7"/>
  <c r="H1354" i="7"/>
  <c r="D1355" i="7"/>
  <c r="H1355" i="7"/>
  <c r="D1356" i="7"/>
  <c r="H1356" i="7"/>
  <c r="D1357" i="7"/>
  <c r="H1357" i="7"/>
  <c r="D1358" i="7"/>
  <c r="H1358" i="7"/>
  <c r="D1359" i="7"/>
  <c r="H1359" i="7"/>
  <c r="D1360" i="7"/>
  <c r="H1360" i="7"/>
  <c r="D1361" i="7"/>
  <c r="H1361" i="7"/>
  <c r="D1362" i="7"/>
  <c r="H1362" i="7"/>
  <c r="D1363" i="7"/>
  <c r="H1363" i="7"/>
  <c r="D1364" i="7"/>
  <c r="H1364" i="7"/>
  <c r="D1365" i="7"/>
  <c r="H1365" i="7"/>
  <c r="D1366" i="7"/>
  <c r="H1366" i="7"/>
  <c r="D1367" i="7"/>
  <c r="H1367" i="7"/>
  <c r="D1368" i="7"/>
  <c r="H1368" i="7"/>
  <c r="D1369" i="7"/>
  <c r="H1369" i="7"/>
  <c r="D1370" i="7"/>
  <c r="H1370" i="7"/>
  <c r="D1371" i="7"/>
  <c r="H1371" i="7"/>
  <c r="D1372" i="7"/>
  <c r="H1372" i="7"/>
  <c r="D1373" i="7"/>
  <c r="H1373" i="7"/>
  <c r="D1374" i="7"/>
  <c r="H1374" i="7"/>
  <c r="D1375" i="7"/>
  <c r="H1375" i="7"/>
  <c r="D1376" i="7"/>
  <c r="H1376" i="7"/>
  <c r="D1377" i="7"/>
  <c r="H1377" i="7"/>
  <c r="D1378" i="7"/>
  <c r="H1378" i="7"/>
  <c r="D1379" i="7"/>
  <c r="H1379" i="7"/>
  <c r="D1380" i="7"/>
  <c r="H1380" i="7"/>
  <c r="D1381" i="7"/>
  <c r="H1381" i="7"/>
  <c r="D1382" i="7"/>
  <c r="H1382" i="7"/>
  <c r="D1383" i="7"/>
  <c r="H1383" i="7"/>
  <c r="D1384" i="7"/>
  <c r="H1384" i="7"/>
  <c r="D1385" i="7"/>
  <c r="H1385" i="7"/>
  <c r="D1386" i="7"/>
  <c r="H1386" i="7"/>
  <c r="D1387" i="7"/>
  <c r="H1387" i="7"/>
  <c r="D1388" i="7"/>
  <c r="H1388" i="7"/>
  <c r="D1389" i="7"/>
  <c r="H1389" i="7"/>
  <c r="D1390" i="7"/>
  <c r="H1390" i="7"/>
  <c r="D1391" i="7"/>
  <c r="H1391" i="7"/>
  <c r="D1392" i="7"/>
  <c r="H1392" i="7"/>
  <c r="D1393" i="7"/>
  <c r="H1393" i="7"/>
  <c r="D1394" i="7"/>
  <c r="H1394" i="7"/>
  <c r="D1395" i="7"/>
  <c r="H1395" i="7"/>
  <c r="D1396" i="7"/>
  <c r="H1396" i="7"/>
  <c r="D1397" i="7"/>
  <c r="H1397" i="7"/>
  <c r="D1398" i="7"/>
  <c r="H1398" i="7"/>
  <c r="D1399" i="7"/>
  <c r="H1399" i="7"/>
  <c r="D1400" i="7"/>
  <c r="H1400" i="7"/>
  <c r="D1401" i="7"/>
  <c r="H1401" i="7"/>
  <c r="D1402" i="7"/>
  <c r="H1402" i="7"/>
  <c r="D1403" i="7"/>
  <c r="H1403" i="7"/>
  <c r="D1404" i="7"/>
  <c r="H1404" i="7"/>
  <c r="D1405" i="7"/>
  <c r="H1405" i="7"/>
  <c r="D1406" i="7"/>
  <c r="H1406" i="7"/>
  <c r="D1407" i="7"/>
  <c r="H1407" i="7"/>
  <c r="D1408" i="7"/>
  <c r="H1408" i="7"/>
  <c r="D1409" i="7"/>
  <c r="H1409" i="7"/>
  <c r="D1410" i="7"/>
  <c r="H1410" i="7"/>
  <c r="D1411" i="7"/>
  <c r="H1411" i="7"/>
  <c r="D1412" i="7"/>
  <c r="H1412" i="7"/>
  <c r="D1413" i="7"/>
  <c r="H1413" i="7"/>
  <c r="D1414" i="7"/>
  <c r="H1414" i="7"/>
  <c r="D1415" i="7"/>
  <c r="H1415" i="7"/>
  <c r="D1416" i="7"/>
  <c r="H1416" i="7"/>
  <c r="D1417" i="7"/>
  <c r="H1417" i="7"/>
  <c r="D1418" i="7"/>
  <c r="H1418" i="7"/>
  <c r="D1419" i="7"/>
  <c r="H1419" i="7"/>
  <c r="D1420" i="7"/>
  <c r="H1420" i="7"/>
  <c r="D1421" i="7"/>
  <c r="H1421" i="7"/>
  <c r="D1422" i="7"/>
  <c r="H1422" i="7"/>
  <c r="D1423" i="7"/>
  <c r="H1423" i="7"/>
  <c r="D1424" i="7"/>
  <c r="H1424" i="7"/>
  <c r="D1425" i="7"/>
  <c r="H1425" i="7"/>
  <c r="D1426" i="7"/>
  <c r="H1426" i="7"/>
  <c r="D1427" i="7"/>
  <c r="H1427" i="7"/>
  <c r="D1428" i="7"/>
  <c r="H1428" i="7"/>
  <c r="D1429" i="7"/>
  <c r="H1429" i="7"/>
  <c r="D1430" i="7"/>
  <c r="H1430" i="7"/>
  <c r="D1431" i="7"/>
  <c r="H1431" i="7"/>
  <c r="D1432" i="7"/>
  <c r="H1432" i="7"/>
  <c r="D1433" i="7"/>
  <c r="H1433" i="7"/>
  <c r="D1434" i="7"/>
  <c r="H1434" i="7"/>
  <c r="D1435" i="7"/>
  <c r="H1435" i="7"/>
  <c r="D1436" i="7"/>
  <c r="H1436" i="7"/>
  <c r="D1437" i="7"/>
  <c r="H1437" i="7"/>
  <c r="D1438" i="7"/>
  <c r="H1438" i="7"/>
  <c r="D1439" i="7"/>
  <c r="H1439" i="7"/>
  <c r="D1440" i="7"/>
  <c r="H1440" i="7"/>
  <c r="D1441" i="7"/>
  <c r="H1441" i="7"/>
  <c r="D1442" i="7"/>
  <c r="H1442" i="7"/>
  <c r="D1443" i="7"/>
  <c r="H1443" i="7"/>
  <c r="D1444" i="7"/>
  <c r="H1444" i="7"/>
  <c r="D1445" i="7"/>
  <c r="H1445" i="7"/>
  <c r="D1446" i="7"/>
  <c r="H1446" i="7"/>
  <c r="D1447" i="7"/>
  <c r="H1447" i="7"/>
  <c r="D1448" i="7"/>
  <c r="H1448" i="7"/>
  <c r="D1449" i="7"/>
  <c r="H1449" i="7"/>
  <c r="D1450" i="7"/>
  <c r="H1450" i="7"/>
  <c r="D1451" i="7"/>
  <c r="H1451" i="7"/>
  <c r="D1452" i="7"/>
  <c r="H1452" i="7"/>
  <c r="D1453" i="7"/>
  <c r="H1453" i="7"/>
  <c r="D1454" i="7"/>
  <c r="H1454" i="7"/>
  <c r="D1455" i="7"/>
  <c r="H1455" i="7"/>
  <c r="D1456" i="7"/>
  <c r="H1456" i="7"/>
  <c r="D1457" i="7"/>
  <c r="H1457" i="7"/>
  <c r="D1458" i="7"/>
  <c r="H1458" i="7"/>
  <c r="D1459" i="7"/>
  <c r="H1459" i="7"/>
  <c r="D1460" i="7"/>
  <c r="H1460" i="7"/>
  <c r="D1461" i="7"/>
  <c r="H1461" i="7"/>
  <c r="D1462" i="7"/>
  <c r="H1462" i="7"/>
  <c r="D1463" i="7"/>
  <c r="H1463" i="7"/>
  <c r="D1464" i="7"/>
  <c r="H1464" i="7"/>
  <c r="D1465" i="7"/>
  <c r="H1465" i="7"/>
  <c r="D1466" i="7"/>
  <c r="H1466" i="7"/>
  <c r="D1467" i="7"/>
  <c r="H1467" i="7"/>
  <c r="D1468" i="7"/>
  <c r="H1468" i="7"/>
  <c r="D1469" i="7"/>
  <c r="H1469" i="7"/>
  <c r="D1470" i="7"/>
  <c r="H1470" i="7"/>
  <c r="D1471" i="7"/>
  <c r="H1471" i="7"/>
  <c r="D1472" i="7"/>
  <c r="H1472" i="7"/>
  <c r="D1473" i="7"/>
  <c r="H1473" i="7"/>
  <c r="D1474" i="7"/>
  <c r="H1474" i="7"/>
  <c r="D1475" i="7"/>
  <c r="H1475" i="7"/>
  <c r="D1476" i="7"/>
  <c r="H1476" i="7"/>
  <c r="D1477" i="7"/>
  <c r="H1477" i="7"/>
  <c r="D1478" i="7"/>
  <c r="H1478" i="7"/>
  <c r="D1479" i="7"/>
  <c r="H1479" i="7"/>
  <c r="D1480" i="7"/>
  <c r="H1480" i="7"/>
  <c r="D1481" i="7"/>
  <c r="H1481" i="7"/>
  <c r="D1482" i="7"/>
  <c r="H1482" i="7"/>
  <c r="D1483" i="7"/>
  <c r="H1483" i="7"/>
  <c r="D1484" i="7"/>
  <c r="H1484" i="7"/>
  <c r="D1485" i="7"/>
  <c r="H1485" i="7"/>
  <c r="D1486" i="7"/>
  <c r="H1486" i="7"/>
  <c r="D1487" i="7"/>
  <c r="H1487" i="7"/>
  <c r="D1488" i="7"/>
  <c r="H1488" i="7"/>
  <c r="D1489" i="7"/>
  <c r="H1489" i="7"/>
  <c r="D1490" i="7"/>
  <c r="H1490" i="7"/>
  <c r="D1491" i="7"/>
  <c r="H1491" i="7"/>
  <c r="D1492" i="7"/>
  <c r="H1492" i="7"/>
  <c r="D1493" i="7"/>
  <c r="H1493" i="7"/>
  <c r="D1494" i="7"/>
  <c r="H1494" i="7"/>
  <c r="D1495" i="7"/>
  <c r="H1495" i="7"/>
  <c r="D1496" i="7"/>
  <c r="H1496" i="7"/>
  <c r="D1497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C1108" i="7"/>
  <c r="E1108" i="7"/>
  <c r="C1109" i="7"/>
  <c r="E1109" i="7"/>
  <c r="C1110" i="7"/>
  <c r="E1110" i="7"/>
  <c r="C1111" i="7"/>
  <c r="E1111" i="7"/>
  <c r="C1112" i="7"/>
  <c r="E1112" i="7"/>
  <c r="C1113" i="7"/>
  <c r="E1113" i="7"/>
  <c r="C1114" i="7"/>
  <c r="E1114" i="7"/>
  <c r="C1115" i="7"/>
  <c r="E1115" i="7"/>
  <c r="C1116" i="7"/>
  <c r="E1116" i="7"/>
  <c r="C1117" i="7"/>
  <c r="E1117" i="7"/>
  <c r="C1118" i="7"/>
  <c r="E1118" i="7"/>
  <c r="C1119" i="7"/>
  <c r="E1119" i="7"/>
  <c r="C1120" i="7"/>
  <c r="E1120" i="7"/>
  <c r="C1121" i="7"/>
  <c r="E1121" i="7"/>
  <c r="C1122" i="7"/>
  <c r="E1122" i="7"/>
  <c r="C1123" i="7"/>
  <c r="E1123" i="7"/>
  <c r="C1124" i="7"/>
  <c r="E1124" i="7"/>
  <c r="C1125" i="7"/>
  <c r="E1125" i="7"/>
  <c r="C1126" i="7"/>
  <c r="E1126" i="7"/>
  <c r="C1127" i="7"/>
  <c r="E1127" i="7"/>
  <c r="C1128" i="7"/>
  <c r="E1128" i="7"/>
  <c r="C1129" i="7"/>
  <c r="E1129" i="7"/>
  <c r="C1130" i="7"/>
  <c r="E1130" i="7"/>
  <c r="C1131" i="7"/>
  <c r="E1131" i="7"/>
  <c r="C1132" i="7"/>
  <c r="E1132" i="7"/>
  <c r="C1133" i="7"/>
  <c r="E1133" i="7"/>
  <c r="C1134" i="7"/>
  <c r="E1134" i="7"/>
  <c r="C1135" i="7"/>
  <c r="E1135" i="7"/>
  <c r="C1136" i="7"/>
  <c r="E1136" i="7"/>
  <c r="C1137" i="7"/>
  <c r="E1137" i="7"/>
  <c r="C1138" i="7"/>
  <c r="E1138" i="7"/>
  <c r="C1139" i="7"/>
  <c r="E1139" i="7"/>
  <c r="C1140" i="7"/>
  <c r="E1140" i="7"/>
  <c r="C1141" i="7"/>
  <c r="E1141" i="7"/>
  <c r="C1142" i="7"/>
  <c r="E1142" i="7"/>
  <c r="C1143" i="7"/>
  <c r="E1143" i="7"/>
  <c r="C1144" i="7"/>
  <c r="E1144" i="7"/>
  <c r="C1145" i="7"/>
  <c r="E1145" i="7"/>
  <c r="C1146" i="7"/>
  <c r="E1146" i="7"/>
  <c r="C1147" i="7"/>
  <c r="E1147" i="7"/>
  <c r="C1148" i="7"/>
  <c r="E1148" i="7"/>
  <c r="C1149" i="7"/>
  <c r="E1149" i="7"/>
  <c r="C1150" i="7"/>
  <c r="E1150" i="7"/>
  <c r="C1151" i="7"/>
  <c r="E1151" i="7"/>
  <c r="C1152" i="7"/>
  <c r="E1152" i="7"/>
  <c r="C1153" i="7"/>
  <c r="E1153" i="7"/>
  <c r="C1154" i="7"/>
  <c r="E1154" i="7"/>
  <c r="C1155" i="7"/>
  <c r="E1155" i="7"/>
  <c r="C1156" i="7"/>
  <c r="E1156" i="7"/>
  <c r="C1157" i="7"/>
  <c r="E1157" i="7"/>
  <c r="C1158" i="7"/>
  <c r="E1158" i="7"/>
  <c r="C1159" i="7"/>
  <c r="E1159" i="7"/>
  <c r="C1160" i="7"/>
  <c r="E1160" i="7"/>
  <c r="C1161" i="7"/>
  <c r="E1161" i="7"/>
  <c r="C1162" i="7"/>
  <c r="E1162" i="7"/>
  <c r="C1163" i="7"/>
  <c r="E1163" i="7"/>
  <c r="C1164" i="7"/>
  <c r="E1164" i="7"/>
  <c r="C1165" i="7"/>
  <c r="E1165" i="7"/>
  <c r="C1166" i="7"/>
  <c r="E1166" i="7"/>
  <c r="C1167" i="7"/>
  <c r="E1167" i="7"/>
  <c r="C1168" i="7"/>
  <c r="E1168" i="7"/>
  <c r="C1169" i="7"/>
  <c r="E1169" i="7"/>
  <c r="C1170" i="7"/>
  <c r="E1170" i="7"/>
  <c r="C1171" i="7"/>
  <c r="E1171" i="7"/>
  <c r="C1172" i="7"/>
  <c r="E1172" i="7"/>
  <c r="C1173" i="7"/>
  <c r="E1173" i="7"/>
  <c r="C1174" i="7"/>
  <c r="E1174" i="7"/>
  <c r="C1175" i="7"/>
  <c r="E1175" i="7"/>
  <c r="C1176" i="7"/>
  <c r="E1176" i="7"/>
  <c r="C1177" i="7"/>
  <c r="E1177" i="7"/>
  <c r="C1178" i="7"/>
  <c r="E1178" i="7"/>
  <c r="C1179" i="7"/>
  <c r="E1179" i="7"/>
  <c r="C1180" i="7"/>
  <c r="E1180" i="7"/>
  <c r="C1181" i="7"/>
  <c r="E1181" i="7"/>
  <c r="C1182" i="7"/>
  <c r="E1182" i="7"/>
  <c r="C1183" i="7"/>
  <c r="E1183" i="7"/>
  <c r="C1184" i="7"/>
  <c r="E1184" i="7"/>
  <c r="C1185" i="7"/>
  <c r="E1185" i="7"/>
  <c r="C1186" i="7"/>
  <c r="E1186" i="7"/>
  <c r="C1187" i="7"/>
  <c r="E1187" i="7"/>
  <c r="C1188" i="7"/>
  <c r="E1188" i="7"/>
  <c r="C1189" i="7"/>
  <c r="E1189" i="7"/>
  <c r="C1190" i="7"/>
  <c r="E1190" i="7"/>
  <c r="C1191" i="7"/>
  <c r="E1191" i="7"/>
  <c r="C1192" i="7"/>
  <c r="E1192" i="7"/>
  <c r="C1193" i="7"/>
  <c r="E1193" i="7"/>
  <c r="C1194" i="7"/>
  <c r="E1194" i="7"/>
  <c r="C1195" i="7"/>
  <c r="E1195" i="7"/>
  <c r="C1196" i="7"/>
  <c r="E1196" i="7"/>
  <c r="C1197" i="7"/>
  <c r="E1197" i="7"/>
  <c r="C1198" i="7"/>
  <c r="E1198" i="7"/>
  <c r="C1199" i="7"/>
  <c r="E1199" i="7"/>
  <c r="C1200" i="7"/>
  <c r="E1200" i="7"/>
  <c r="C1201" i="7"/>
  <c r="E1201" i="7"/>
  <c r="C1202" i="7"/>
  <c r="E1202" i="7"/>
  <c r="C1203" i="7"/>
  <c r="E1203" i="7"/>
  <c r="C1204" i="7"/>
  <c r="E1204" i="7"/>
  <c r="C1205" i="7"/>
  <c r="E1205" i="7"/>
  <c r="C1206" i="7"/>
  <c r="E1206" i="7"/>
  <c r="C1207" i="7"/>
  <c r="E1207" i="7"/>
  <c r="C1208" i="7"/>
  <c r="E1208" i="7"/>
  <c r="C1209" i="7"/>
  <c r="E1209" i="7"/>
  <c r="C1210" i="7"/>
  <c r="E1210" i="7"/>
  <c r="C1211" i="7"/>
  <c r="E1211" i="7"/>
  <c r="C1212" i="7"/>
  <c r="E1212" i="7"/>
  <c r="C1213" i="7"/>
  <c r="E1213" i="7"/>
  <c r="C1214" i="7"/>
  <c r="E1214" i="7"/>
  <c r="C1215" i="7"/>
  <c r="E1215" i="7"/>
  <c r="C1216" i="7"/>
  <c r="E1216" i="7"/>
  <c r="C1217" i="7"/>
  <c r="E1217" i="7"/>
  <c r="C1218" i="7"/>
  <c r="E1218" i="7"/>
  <c r="C1219" i="7"/>
  <c r="E1219" i="7"/>
  <c r="C1220" i="7"/>
  <c r="E1220" i="7"/>
  <c r="C1221" i="7"/>
  <c r="E1221" i="7"/>
  <c r="C1222" i="7"/>
  <c r="E1222" i="7"/>
  <c r="C1223" i="7"/>
  <c r="E1223" i="7"/>
  <c r="C1224" i="7"/>
  <c r="E1224" i="7"/>
  <c r="C1225" i="7"/>
  <c r="E1225" i="7"/>
  <c r="C1226" i="7"/>
  <c r="E1226" i="7"/>
  <c r="C1227" i="7"/>
  <c r="E1227" i="7"/>
  <c r="C1228" i="7"/>
  <c r="E1228" i="7"/>
  <c r="C1229" i="7"/>
  <c r="E1229" i="7"/>
  <c r="C1230" i="7"/>
  <c r="E1230" i="7"/>
  <c r="C1231" i="7"/>
  <c r="E1231" i="7"/>
  <c r="C1232" i="7"/>
  <c r="E1232" i="7"/>
  <c r="C1233" i="7"/>
  <c r="E1233" i="7"/>
  <c r="C1234" i="7"/>
  <c r="E1234" i="7"/>
  <c r="C1235" i="7"/>
  <c r="E1235" i="7"/>
  <c r="C1236" i="7"/>
  <c r="E1236" i="7"/>
  <c r="C1237" i="7"/>
  <c r="E1237" i="7"/>
  <c r="C1238" i="7"/>
  <c r="E1238" i="7"/>
  <c r="C1239" i="7"/>
  <c r="E1239" i="7"/>
  <c r="C1240" i="7"/>
  <c r="E1240" i="7"/>
  <c r="C1241" i="7"/>
  <c r="E1241" i="7"/>
  <c r="C1242" i="7"/>
  <c r="E1242" i="7"/>
  <c r="C1243" i="7"/>
  <c r="E1243" i="7"/>
  <c r="C1244" i="7"/>
  <c r="E1244" i="7"/>
  <c r="C1245" i="7"/>
  <c r="E1245" i="7"/>
  <c r="C1246" i="7"/>
  <c r="E1246" i="7"/>
  <c r="C1247" i="7"/>
  <c r="E1247" i="7"/>
  <c r="C1248" i="7"/>
  <c r="E1248" i="7"/>
  <c r="C1249" i="7"/>
  <c r="E1249" i="7"/>
  <c r="C1250" i="7"/>
  <c r="E1250" i="7"/>
  <c r="C1251" i="7"/>
  <c r="E1251" i="7"/>
  <c r="C1252" i="7"/>
  <c r="E1252" i="7"/>
  <c r="C1253" i="7"/>
  <c r="E1253" i="7"/>
  <c r="C1254" i="7"/>
  <c r="E1254" i="7"/>
  <c r="C1255" i="7"/>
  <c r="E1255" i="7"/>
  <c r="C1256" i="7"/>
  <c r="E1256" i="7"/>
  <c r="C1257" i="7"/>
  <c r="E1257" i="7"/>
  <c r="C1258" i="7"/>
  <c r="E1258" i="7"/>
  <c r="C1259" i="7"/>
  <c r="E1259" i="7"/>
  <c r="C1260" i="7"/>
  <c r="E1260" i="7"/>
  <c r="C1261" i="7"/>
  <c r="E1261" i="7"/>
  <c r="C1262" i="7"/>
  <c r="E1262" i="7"/>
  <c r="C1263" i="7"/>
  <c r="E1263" i="7"/>
  <c r="C1264" i="7"/>
  <c r="E1264" i="7"/>
  <c r="C1265" i="7"/>
  <c r="E1265" i="7"/>
  <c r="C1266" i="7"/>
  <c r="E1266" i="7"/>
  <c r="C1267" i="7"/>
  <c r="E1267" i="7"/>
  <c r="C1268" i="7"/>
  <c r="E1268" i="7"/>
  <c r="C1269" i="7"/>
  <c r="E1269" i="7"/>
  <c r="C1270" i="7"/>
  <c r="E1270" i="7"/>
  <c r="C1271" i="7"/>
  <c r="E1271" i="7"/>
  <c r="C1272" i="7"/>
  <c r="E1272" i="7"/>
  <c r="C1273" i="7"/>
  <c r="E1273" i="7"/>
  <c r="C1274" i="7"/>
  <c r="E1274" i="7"/>
  <c r="C1275" i="7"/>
  <c r="E1275" i="7"/>
  <c r="C1276" i="7"/>
  <c r="E1276" i="7"/>
  <c r="C1277" i="7"/>
  <c r="E1277" i="7"/>
  <c r="C1278" i="7"/>
  <c r="E1278" i="7"/>
  <c r="C1279" i="7"/>
  <c r="E1279" i="7"/>
  <c r="C1280" i="7"/>
  <c r="E1280" i="7"/>
  <c r="C1281" i="7"/>
  <c r="E1281" i="7"/>
  <c r="C1282" i="7"/>
  <c r="E1282" i="7"/>
  <c r="C1283" i="7"/>
  <c r="E1283" i="7"/>
  <c r="C1284" i="7"/>
  <c r="E1284" i="7"/>
  <c r="C1285" i="7"/>
  <c r="E1285" i="7"/>
  <c r="C1286" i="7"/>
  <c r="E1286" i="7"/>
  <c r="C1287" i="7"/>
  <c r="E1287" i="7"/>
  <c r="C1288" i="7"/>
  <c r="E1288" i="7"/>
  <c r="C1289" i="7"/>
  <c r="E1289" i="7"/>
  <c r="C1290" i="7"/>
  <c r="E1290" i="7"/>
  <c r="C1291" i="7"/>
  <c r="E1291" i="7"/>
  <c r="C1292" i="7"/>
  <c r="E1292" i="7"/>
  <c r="C1293" i="7"/>
  <c r="E1293" i="7"/>
  <c r="C1294" i="7"/>
  <c r="E1294" i="7"/>
  <c r="C1295" i="7"/>
  <c r="E1295" i="7"/>
  <c r="C1296" i="7"/>
  <c r="E1296" i="7"/>
  <c r="C1297" i="7"/>
  <c r="E1297" i="7"/>
  <c r="C1298" i="7"/>
  <c r="E1298" i="7"/>
  <c r="C1299" i="7"/>
  <c r="E1299" i="7"/>
  <c r="C1300" i="7"/>
  <c r="E1300" i="7"/>
  <c r="C1301" i="7"/>
  <c r="E1301" i="7"/>
  <c r="C1302" i="7"/>
  <c r="E1302" i="7"/>
  <c r="C1303" i="7"/>
  <c r="E1303" i="7"/>
  <c r="C1304" i="7"/>
  <c r="E1304" i="7"/>
  <c r="C1305" i="7"/>
  <c r="E1305" i="7"/>
  <c r="C1306" i="7"/>
  <c r="E1306" i="7"/>
  <c r="C1307" i="7"/>
  <c r="E1307" i="7"/>
  <c r="C1308" i="7"/>
  <c r="E1308" i="7"/>
  <c r="C1309" i="7"/>
  <c r="E1309" i="7"/>
  <c r="C1310" i="7"/>
  <c r="E1310" i="7"/>
  <c r="C1311" i="7"/>
  <c r="E1311" i="7"/>
  <c r="C1312" i="7"/>
  <c r="E1312" i="7"/>
  <c r="C1313" i="7"/>
  <c r="E1313" i="7"/>
  <c r="C1314" i="7"/>
  <c r="E1314" i="7"/>
  <c r="C1315" i="7"/>
  <c r="E1315" i="7"/>
  <c r="C1316" i="7"/>
  <c r="E1316" i="7"/>
  <c r="C1317" i="7"/>
  <c r="E1317" i="7"/>
  <c r="C1318" i="7"/>
  <c r="E1318" i="7"/>
  <c r="C1319" i="7"/>
  <c r="E1319" i="7"/>
  <c r="C1320" i="7"/>
  <c r="E1320" i="7"/>
  <c r="C1321" i="7"/>
  <c r="E1321" i="7"/>
  <c r="C1322" i="7"/>
  <c r="E1322" i="7"/>
  <c r="C1323" i="7"/>
  <c r="E1323" i="7"/>
  <c r="C1324" i="7"/>
  <c r="E1324" i="7"/>
  <c r="C1325" i="7"/>
  <c r="E1325" i="7"/>
  <c r="C1326" i="7"/>
  <c r="E1326" i="7"/>
  <c r="C1327" i="7"/>
  <c r="E1327" i="7"/>
  <c r="C1328" i="7"/>
  <c r="E1328" i="7"/>
  <c r="C1329" i="7"/>
  <c r="E1329" i="7"/>
  <c r="C1330" i="7"/>
  <c r="E1330" i="7"/>
  <c r="C1331" i="7"/>
  <c r="E1331" i="7"/>
  <c r="C1332" i="7"/>
  <c r="E1332" i="7"/>
  <c r="C1333" i="7"/>
  <c r="E1333" i="7"/>
  <c r="C1334" i="7"/>
  <c r="E1334" i="7"/>
  <c r="C1335" i="7"/>
  <c r="E1335" i="7"/>
  <c r="C1336" i="7"/>
  <c r="E1336" i="7"/>
  <c r="C1337" i="7"/>
  <c r="E1337" i="7"/>
  <c r="C1338" i="7"/>
  <c r="E1338" i="7"/>
  <c r="C1339" i="7"/>
  <c r="E1339" i="7"/>
  <c r="C1340" i="7"/>
  <c r="E1340" i="7"/>
  <c r="C1341" i="7"/>
  <c r="E1341" i="7"/>
  <c r="C1342" i="7"/>
  <c r="E1342" i="7"/>
  <c r="C1343" i="7"/>
  <c r="E1343" i="7"/>
  <c r="C1344" i="7"/>
  <c r="E1344" i="7"/>
  <c r="C1345" i="7"/>
  <c r="E1345" i="7"/>
  <c r="C1346" i="7"/>
  <c r="E1346" i="7"/>
  <c r="C1347" i="7"/>
  <c r="E1347" i="7"/>
  <c r="C1348" i="7"/>
  <c r="E1348" i="7"/>
  <c r="C1349" i="7"/>
  <c r="E1349" i="7"/>
  <c r="C1350" i="7"/>
  <c r="E1350" i="7"/>
  <c r="C1351" i="7"/>
  <c r="E1351" i="7"/>
  <c r="C1352" i="7"/>
  <c r="E1352" i="7"/>
  <c r="C1353" i="7"/>
  <c r="E1353" i="7"/>
  <c r="C1354" i="7"/>
  <c r="E1354" i="7"/>
  <c r="C1355" i="7"/>
  <c r="E1355" i="7"/>
  <c r="C1356" i="7"/>
  <c r="E1356" i="7"/>
  <c r="C1357" i="7"/>
  <c r="E1357" i="7"/>
  <c r="C1358" i="7"/>
  <c r="E1358" i="7"/>
  <c r="C1359" i="7"/>
  <c r="E1359" i="7"/>
  <c r="C1360" i="7"/>
  <c r="E1360" i="7"/>
  <c r="C1361" i="7"/>
  <c r="E1361" i="7"/>
  <c r="C1362" i="7"/>
  <c r="E1362" i="7"/>
  <c r="C1363" i="7"/>
  <c r="E1363" i="7"/>
  <c r="C1364" i="7"/>
  <c r="E1364" i="7"/>
  <c r="C1365" i="7"/>
  <c r="E1365" i="7"/>
  <c r="C1366" i="7"/>
  <c r="E1366" i="7"/>
  <c r="C1367" i="7"/>
  <c r="E1367" i="7"/>
  <c r="C1368" i="7"/>
  <c r="E1368" i="7"/>
  <c r="C1369" i="7"/>
  <c r="E1369" i="7"/>
  <c r="C1370" i="7"/>
  <c r="E1370" i="7"/>
  <c r="C1371" i="7"/>
  <c r="E1371" i="7"/>
  <c r="C1372" i="7"/>
  <c r="E1372" i="7"/>
  <c r="C1373" i="7"/>
  <c r="E1373" i="7"/>
  <c r="C1374" i="7"/>
  <c r="E1374" i="7"/>
  <c r="C1375" i="7"/>
  <c r="E1375" i="7"/>
  <c r="C1376" i="7"/>
  <c r="E1376" i="7"/>
  <c r="C1377" i="7"/>
  <c r="E1377" i="7"/>
  <c r="C1378" i="7"/>
  <c r="E1378" i="7"/>
  <c r="C1379" i="7"/>
  <c r="E1379" i="7"/>
  <c r="C1380" i="7"/>
  <c r="E1380" i="7"/>
  <c r="C1381" i="7"/>
  <c r="E1381" i="7"/>
  <c r="C1382" i="7"/>
  <c r="E1382" i="7"/>
  <c r="C1383" i="7"/>
  <c r="E1383" i="7"/>
  <c r="C1384" i="7"/>
  <c r="E1384" i="7"/>
  <c r="C1385" i="7"/>
  <c r="E1385" i="7"/>
  <c r="C1386" i="7"/>
  <c r="E1386" i="7"/>
  <c r="C1387" i="7"/>
  <c r="E1387" i="7"/>
  <c r="C1388" i="7"/>
  <c r="E1388" i="7"/>
  <c r="C1389" i="7"/>
  <c r="E1389" i="7"/>
  <c r="C1390" i="7"/>
  <c r="E1390" i="7"/>
  <c r="C1391" i="7"/>
  <c r="E1391" i="7"/>
  <c r="C1392" i="7"/>
  <c r="E1392" i="7"/>
  <c r="C1393" i="7"/>
  <c r="E1393" i="7"/>
  <c r="C1394" i="7"/>
  <c r="E1394" i="7"/>
  <c r="C1395" i="7"/>
  <c r="E1395" i="7"/>
  <c r="C1396" i="7"/>
  <c r="E1396" i="7"/>
  <c r="C1397" i="7"/>
  <c r="E1397" i="7"/>
  <c r="C1398" i="7"/>
  <c r="E1398" i="7"/>
  <c r="C1399" i="7"/>
  <c r="E1399" i="7"/>
  <c r="C1400" i="7"/>
  <c r="E1400" i="7"/>
  <c r="C1401" i="7"/>
  <c r="E1401" i="7"/>
  <c r="C1402" i="7"/>
  <c r="E1402" i="7"/>
  <c r="C1403" i="7"/>
  <c r="E1403" i="7"/>
  <c r="C1404" i="7"/>
  <c r="E1404" i="7"/>
  <c r="C1405" i="7"/>
  <c r="E1405" i="7"/>
  <c r="C1406" i="7"/>
  <c r="E1406" i="7"/>
  <c r="C1407" i="7"/>
  <c r="E1407" i="7"/>
  <c r="C1408" i="7"/>
  <c r="E1408" i="7"/>
  <c r="C1409" i="7"/>
  <c r="E1409" i="7"/>
  <c r="C1410" i="7"/>
  <c r="E1410" i="7"/>
  <c r="C1411" i="7"/>
  <c r="E1411" i="7"/>
  <c r="C1412" i="7"/>
  <c r="E1412" i="7"/>
  <c r="C1413" i="7"/>
  <c r="E1413" i="7"/>
  <c r="C1414" i="7"/>
  <c r="E1414" i="7"/>
  <c r="C1415" i="7"/>
  <c r="E1415" i="7"/>
  <c r="C1416" i="7"/>
  <c r="E1416" i="7"/>
  <c r="C1417" i="7"/>
  <c r="E1417" i="7"/>
  <c r="C1418" i="7"/>
  <c r="E1418" i="7"/>
  <c r="C1419" i="7"/>
  <c r="E1419" i="7"/>
  <c r="C1420" i="7"/>
  <c r="E1420" i="7"/>
  <c r="C1421" i="7"/>
  <c r="E1421" i="7"/>
  <c r="C1422" i="7"/>
  <c r="E1422" i="7"/>
  <c r="C1423" i="7"/>
  <c r="E1423" i="7"/>
  <c r="C1424" i="7"/>
  <c r="E1424" i="7"/>
  <c r="C1425" i="7"/>
  <c r="E1425" i="7"/>
  <c r="C1426" i="7"/>
  <c r="E1426" i="7"/>
  <c r="C1427" i="7"/>
  <c r="E1427" i="7"/>
  <c r="C1428" i="7"/>
  <c r="E1428" i="7"/>
  <c r="C1429" i="7"/>
  <c r="E1429" i="7"/>
  <c r="C1430" i="7"/>
  <c r="E1430" i="7"/>
  <c r="C1431" i="7"/>
  <c r="E1431" i="7"/>
  <c r="C1432" i="7"/>
  <c r="E1432" i="7"/>
  <c r="C1433" i="7"/>
  <c r="E1433" i="7"/>
  <c r="C1434" i="7"/>
  <c r="E1434" i="7"/>
  <c r="C1435" i="7"/>
  <c r="E1435" i="7"/>
  <c r="C1436" i="7"/>
  <c r="E1436" i="7"/>
  <c r="C1437" i="7"/>
  <c r="E1437" i="7"/>
  <c r="C1438" i="7"/>
  <c r="E1438" i="7"/>
  <c r="C1439" i="7"/>
  <c r="E1439" i="7"/>
  <c r="C1440" i="7"/>
  <c r="E1440" i="7"/>
  <c r="C1441" i="7"/>
  <c r="E1441" i="7"/>
  <c r="C1442" i="7"/>
  <c r="E1442" i="7"/>
  <c r="C1443" i="7"/>
  <c r="E1443" i="7"/>
  <c r="C1444" i="7"/>
  <c r="E1444" i="7"/>
  <c r="C1445" i="7"/>
  <c r="E1445" i="7"/>
  <c r="C1446" i="7"/>
  <c r="E1446" i="7"/>
  <c r="C1447" i="7"/>
  <c r="E1447" i="7"/>
  <c r="C1448" i="7"/>
  <c r="E1448" i="7"/>
  <c r="C1449" i="7"/>
  <c r="E1449" i="7"/>
  <c r="C1450" i="7"/>
  <c r="E1450" i="7"/>
  <c r="C1451" i="7"/>
  <c r="E1451" i="7"/>
  <c r="C1452" i="7"/>
  <c r="E1452" i="7"/>
  <c r="C1453" i="7"/>
  <c r="E1453" i="7"/>
  <c r="C1454" i="7"/>
  <c r="E1454" i="7"/>
  <c r="C1455" i="7"/>
  <c r="E1455" i="7"/>
  <c r="C1456" i="7"/>
  <c r="E1456" i="7"/>
  <c r="C1457" i="7"/>
  <c r="E1457" i="7"/>
  <c r="C1458" i="7"/>
  <c r="E1458" i="7"/>
  <c r="C1459" i="7"/>
  <c r="E1459" i="7"/>
  <c r="C1460" i="7"/>
  <c r="E1460" i="7"/>
  <c r="C1461" i="7"/>
  <c r="E1461" i="7"/>
  <c r="C1462" i="7"/>
  <c r="E1462" i="7"/>
  <c r="C1463" i="7"/>
  <c r="E1463" i="7"/>
  <c r="C1464" i="7"/>
  <c r="E1464" i="7"/>
  <c r="C1465" i="7"/>
  <c r="E1465" i="7"/>
  <c r="C1466" i="7"/>
  <c r="E1466" i="7"/>
  <c r="C1467" i="7"/>
  <c r="E1467" i="7"/>
  <c r="C1468" i="7"/>
  <c r="E1468" i="7"/>
  <c r="C1469" i="7"/>
  <c r="E1469" i="7"/>
  <c r="C1470" i="7"/>
  <c r="E1470" i="7"/>
  <c r="C1471" i="7"/>
  <c r="E1471" i="7"/>
  <c r="C1472" i="7"/>
  <c r="E1472" i="7"/>
  <c r="C1473" i="7"/>
  <c r="E1473" i="7"/>
  <c r="C1474" i="7"/>
  <c r="E1474" i="7"/>
  <c r="C1475" i="7"/>
  <c r="E1475" i="7"/>
  <c r="C1476" i="7"/>
  <c r="E1476" i="7"/>
  <c r="C1477" i="7"/>
  <c r="E1477" i="7"/>
  <c r="C1478" i="7"/>
  <c r="E1478" i="7"/>
  <c r="C1479" i="7"/>
  <c r="E1479" i="7"/>
  <c r="C1480" i="7"/>
  <c r="E1480" i="7"/>
  <c r="C1481" i="7"/>
  <c r="E1481" i="7"/>
  <c r="C1482" i="7"/>
  <c r="E1482" i="7"/>
  <c r="C1483" i="7"/>
  <c r="E1483" i="7"/>
  <c r="C1484" i="7"/>
  <c r="E1484" i="7"/>
  <c r="C1485" i="7"/>
  <c r="E1485" i="7"/>
  <c r="C1486" i="7"/>
  <c r="E1486" i="7"/>
  <c r="C1487" i="7"/>
  <c r="E1487" i="7"/>
  <c r="C1488" i="7"/>
  <c r="E1488" i="7"/>
  <c r="C1489" i="7"/>
  <c r="E1489" i="7"/>
  <c r="C1490" i="7"/>
  <c r="E1490" i="7"/>
  <c r="C1491" i="7"/>
  <c r="E1491" i="7"/>
  <c r="C1492" i="7"/>
  <c r="E1492" i="7"/>
  <c r="C1493" i="7"/>
  <c r="E1493" i="7"/>
  <c r="C1494" i="7"/>
  <c r="E1494" i="7"/>
  <c r="C1495" i="7"/>
  <c r="E1495" i="7"/>
  <c r="C1496" i="7"/>
  <c r="E1496" i="7"/>
  <c r="C1497" i="7"/>
  <c r="E1497" i="7"/>
  <c r="C1498" i="7"/>
  <c r="E1498" i="7"/>
  <c r="C1499" i="7"/>
  <c r="E1499" i="7"/>
  <c r="C1500" i="7"/>
  <c r="E1500" i="7"/>
  <c r="C1501" i="7"/>
  <c r="E1501" i="7"/>
  <c r="C1502" i="7"/>
  <c r="E1502" i="7"/>
  <c r="C1503" i="7"/>
  <c r="E1503" i="7"/>
  <c r="C1504" i="7"/>
  <c r="E1504" i="7"/>
  <c r="C1505" i="7"/>
  <c r="E1505" i="7"/>
  <c r="C1506" i="7"/>
  <c r="E1506" i="7"/>
  <c r="C1507" i="7"/>
  <c r="E1507" i="7"/>
  <c r="C1508" i="7"/>
  <c r="E1508" i="7"/>
  <c r="C1509" i="7"/>
  <c r="E1509" i="7"/>
  <c r="C1510" i="7"/>
  <c r="E1510" i="7"/>
  <c r="C1511" i="7"/>
  <c r="E1511" i="7"/>
  <c r="C1512" i="7"/>
  <c r="E1512" i="7"/>
  <c r="C1513" i="7"/>
  <c r="E1513" i="7"/>
  <c r="C1514" i="7"/>
  <c r="E1514" i="7"/>
  <c r="C1515" i="7"/>
  <c r="E1515" i="7"/>
  <c r="C1516" i="7"/>
  <c r="E1516" i="7"/>
  <c r="C1517" i="7"/>
  <c r="E1517" i="7"/>
  <c r="C1518" i="7"/>
  <c r="E1518" i="7"/>
  <c r="C1519" i="7"/>
  <c r="E1519" i="7"/>
  <c r="C1520" i="7"/>
  <c r="E1520" i="7"/>
  <c r="C1521" i="7"/>
  <c r="E1521" i="7"/>
  <c r="C1522" i="7"/>
  <c r="E1522" i="7"/>
  <c r="C1523" i="7"/>
  <c r="E1523" i="7"/>
  <c r="C1524" i="7"/>
  <c r="E1524" i="7"/>
  <c r="C1525" i="7"/>
  <c r="E1525" i="7"/>
  <c r="C1103" i="7"/>
  <c r="E1103" i="7"/>
  <c r="C1104" i="7"/>
  <c r="E1104" i="7"/>
  <c r="C1105" i="7"/>
  <c r="E1105" i="7"/>
  <c r="C1106" i="7"/>
  <c r="E1106" i="7"/>
  <c r="C1107" i="7"/>
  <c r="E1107" i="7"/>
  <c r="D1102" i="7"/>
  <c r="H1102" i="7"/>
  <c r="E1102" i="7"/>
  <c r="C1102" i="7"/>
  <c r="D737" i="7"/>
  <c r="H737" i="7"/>
  <c r="D738" i="7"/>
  <c r="H738" i="7"/>
  <c r="D739" i="7"/>
  <c r="H739" i="7"/>
  <c r="D740" i="7"/>
  <c r="H740" i="7"/>
  <c r="D741" i="7"/>
  <c r="H741" i="7"/>
  <c r="D742" i="7"/>
  <c r="H742" i="7"/>
  <c r="D743" i="7"/>
  <c r="H743" i="7"/>
  <c r="D744" i="7"/>
  <c r="H744" i="7"/>
  <c r="D745" i="7"/>
  <c r="H745" i="7"/>
  <c r="D746" i="7"/>
  <c r="H746" i="7"/>
  <c r="D747" i="7"/>
  <c r="H747" i="7"/>
  <c r="D748" i="7"/>
  <c r="H748" i="7"/>
  <c r="D749" i="7"/>
  <c r="H749" i="7"/>
  <c r="D750" i="7"/>
  <c r="H750" i="7"/>
  <c r="D751" i="7"/>
  <c r="H751" i="7"/>
  <c r="D752" i="7"/>
  <c r="H752" i="7"/>
  <c r="D753" i="7"/>
  <c r="H753" i="7"/>
  <c r="D754" i="7"/>
  <c r="H754" i="7"/>
  <c r="D755" i="7"/>
  <c r="H755" i="7"/>
  <c r="D756" i="7"/>
  <c r="H756" i="7"/>
  <c r="D757" i="7"/>
  <c r="H757" i="7"/>
  <c r="D758" i="7"/>
  <c r="H758" i="7"/>
  <c r="D759" i="7"/>
  <c r="H759" i="7"/>
  <c r="D760" i="7"/>
  <c r="H760" i="7"/>
  <c r="D761" i="7"/>
  <c r="H761" i="7"/>
  <c r="D762" i="7"/>
  <c r="H762" i="7"/>
  <c r="D763" i="7"/>
  <c r="H763" i="7"/>
  <c r="D764" i="7"/>
  <c r="H764" i="7"/>
  <c r="D765" i="7"/>
  <c r="H765" i="7"/>
  <c r="D766" i="7"/>
  <c r="H766" i="7"/>
  <c r="D767" i="7"/>
  <c r="H767" i="7"/>
  <c r="D768" i="7"/>
  <c r="H768" i="7"/>
  <c r="D769" i="7"/>
  <c r="H769" i="7"/>
  <c r="D770" i="7"/>
  <c r="H770" i="7"/>
  <c r="D771" i="7"/>
  <c r="H771" i="7"/>
  <c r="D772" i="7"/>
  <c r="H772" i="7"/>
  <c r="D773" i="7"/>
  <c r="H773" i="7"/>
  <c r="D774" i="7"/>
  <c r="H774" i="7"/>
  <c r="D775" i="7"/>
  <c r="H775" i="7"/>
  <c r="D776" i="7"/>
  <c r="H776" i="7"/>
  <c r="D777" i="7"/>
  <c r="H777" i="7"/>
  <c r="D778" i="7"/>
  <c r="H778" i="7"/>
  <c r="D779" i="7"/>
  <c r="H779" i="7"/>
  <c r="D780" i="7"/>
  <c r="H780" i="7"/>
  <c r="D781" i="7"/>
  <c r="H781" i="7"/>
  <c r="D782" i="7"/>
  <c r="H782" i="7"/>
  <c r="D783" i="7"/>
  <c r="H783" i="7"/>
  <c r="D784" i="7"/>
  <c r="H784" i="7"/>
  <c r="D785" i="7"/>
  <c r="H785" i="7"/>
  <c r="D786" i="7"/>
  <c r="H786" i="7"/>
  <c r="D787" i="7"/>
  <c r="H787" i="7"/>
  <c r="D788" i="7"/>
  <c r="H788" i="7"/>
  <c r="D789" i="7"/>
  <c r="H789" i="7"/>
  <c r="D790" i="7"/>
  <c r="H790" i="7"/>
  <c r="D791" i="7"/>
  <c r="H791" i="7"/>
  <c r="D792" i="7"/>
  <c r="H792" i="7"/>
  <c r="D793" i="7"/>
  <c r="H793" i="7"/>
  <c r="D794" i="7"/>
  <c r="H794" i="7"/>
  <c r="D795" i="7"/>
  <c r="H795" i="7"/>
  <c r="D796" i="7"/>
  <c r="H796" i="7"/>
  <c r="D797" i="7"/>
  <c r="H797" i="7"/>
  <c r="D798" i="7"/>
  <c r="H798" i="7"/>
  <c r="D799" i="7"/>
  <c r="H799" i="7"/>
  <c r="D800" i="7"/>
  <c r="H800" i="7"/>
  <c r="D801" i="7"/>
  <c r="H801" i="7"/>
  <c r="D802" i="7"/>
  <c r="H802" i="7"/>
  <c r="D803" i="7"/>
  <c r="H803" i="7"/>
  <c r="D804" i="7"/>
  <c r="H804" i="7"/>
  <c r="D805" i="7"/>
  <c r="H805" i="7"/>
  <c r="D806" i="7"/>
  <c r="H806" i="7"/>
  <c r="D807" i="7"/>
  <c r="H807" i="7"/>
  <c r="D808" i="7"/>
  <c r="H808" i="7"/>
  <c r="D809" i="7"/>
  <c r="H809" i="7"/>
  <c r="D810" i="7"/>
  <c r="C35" i="1" s="1"/>
  <c r="H810" i="7"/>
  <c r="D811" i="7"/>
  <c r="H811" i="7"/>
  <c r="D812" i="7"/>
  <c r="H812" i="7"/>
  <c r="D813" i="7"/>
  <c r="H813" i="7"/>
  <c r="D814" i="7"/>
  <c r="H814" i="7"/>
  <c r="D815" i="7"/>
  <c r="H815" i="7"/>
  <c r="D816" i="7"/>
  <c r="H816" i="7"/>
  <c r="D817" i="7"/>
  <c r="H817" i="7"/>
  <c r="D818" i="7"/>
  <c r="H818" i="7"/>
  <c r="D819" i="7"/>
  <c r="H819" i="7"/>
  <c r="D820" i="7"/>
  <c r="H820" i="7"/>
  <c r="D821" i="7"/>
  <c r="H821" i="7"/>
  <c r="D822" i="7"/>
  <c r="H822" i="7"/>
  <c r="D823" i="7"/>
  <c r="H823" i="7"/>
  <c r="D824" i="7"/>
  <c r="H824" i="7"/>
  <c r="D825" i="7"/>
  <c r="H825" i="7"/>
  <c r="D826" i="7"/>
  <c r="H826" i="7"/>
  <c r="D827" i="7"/>
  <c r="H827" i="7"/>
  <c r="D828" i="7"/>
  <c r="H828" i="7"/>
  <c r="D829" i="7"/>
  <c r="H829" i="7"/>
  <c r="D830" i="7"/>
  <c r="H830" i="7"/>
  <c r="D831" i="7"/>
  <c r="H831" i="7"/>
  <c r="D832" i="7"/>
  <c r="H832" i="7"/>
  <c r="D833" i="7"/>
  <c r="H833" i="7"/>
  <c r="D834" i="7"/>
  <c r="H834" i="7"/>
  <c r="D835" i="7"/>
  <c r="H835" i="7"/>
  <c r="D836" i="7"/>
  <c r="H836" i="7"/>
  <c r="D837" i="7"/>
  <c r="H837" i="7"/>
  <c r="D838" i="7"/>
  <c r="H838" i="7"/>
  <c r="D839" i="7"/>
  <c r="H839" i="7"/>
  <c r="D840" i="7"/>
  <c r="H840" i="7"/>
  <c r="D841" i="7"/>
  <c r="H841" i="7"/>
  <c r="D842" i="7"/>
  <c r="H842" i="7"/>
  <c r="D843" i="7"/>
  <c r="H843" i="7"/>
  <c r="D844" i="7"/>
  <c r="H844" i="7"/>
  <c r="D845" i="7"/>
  <c r="H845" i="7"/>
  <c r="D846" i="7"/>
  <c r="H846" i="7"/>
  <c r="D847" i="7"/>
  <c r="H847" i="7"/>
  <c r="D848" i="7"/>
  <c r="H848" i="7"/>
  <c r="D849" i="7"/>
  <c r="H849" i="7"/>
  <c r="D850" i="7"/>
  <c r="H850" i="7"/>
  <c r="D851" i="7"/>
  <c r="H851" i="7"/>
  <c r="D852" i="7"/>
  <c r="H852" i="7"/>
  <c r="D853" i="7"/>
  <c r="H853" i="7"/>
  <c r="D854" i="7"/>
  <c r="H854" i="7"/>
  <c r="D855" i="7"/>
  <c r="H855" i="7"/>
  <c r="D856" i="7"/>
  <c r="H856" i="7"/>
  <c r="D857" i="7"/>
  <c r="H857" i="7"/>
  <c r="D858" i="7"/>
  <c r="H858" i="7"/>
  <c r="D859" i="7"/>
  <c r="H859" i="7"/>
  <c r="D860" i="7"/>
  <c r="H860" i="7"/>
  <c r="D861" i="7"/>
  <c r="H861" i="7"/>
  <c r="D862" i="7"/>
  <c r="H862" i="7"/>
  <c r="D863" i="7"/>
  <c r="H863" i="7"/>
  <c r="D864" i="7"/>
  <c r="H864" i="7"/>
  <c r="D865" i="7"/>
  <c r="H865" i="7"/>
  <c r="D866" i="7"/>
  <c r="H866" i="7"/>
  <c r="D867" i="7"/>
  <c r="H867" i="7"/>
  <c r="D868" i="7"/>
  <c r="H868" i="7"/>
  <c r="D869" i="7"/>
  <c r="H869" i="7"/>
  <c r="D870" i="7"/>
  <c r="H870" i="7"/>
  <c r="D871" i="7"/>
  <c r="H871" i="7"/>
  <c r="D872" i="7"/>
  <c r="H872" i="7"/>
  <c r="D873" i="7"/>
  <c r="H873" i="7"/>
  <c r="D874" i="7"/>
  <c r="H874" i="7"/>
  <c r="D875" i="7"/>
  <c r="H875" i="7"/>
  <c r="D876" i="7"/>
  <c r="H876" i="7"/>
  <c r="D877" i="7"/>
  <c r="H877" i="7"/>
  <c r="D878" i="7"/>
  <c r="H878" i="7"/>
  <c r="D879" i="7"/>
  <c r="H879" i="7"/>
  <c r="D880" i="7"/>
  <c r="H880" i="7"/>
  <c r="D881" i="7"/>
  <c r="H881" i="7"/>
  <c r="D882" i="7"/>
  <c r="H882" i="7"/>
  <c r="D883" i="7"/>
  <c r="H883" i="7"/>
  <c r="D884" i="7"/>
  <c r="H884" i="7"/>
  <c r="D885" i="7"/>
  <c r="H885" i="7"/>
  <c r="D886" i="7"/>
  <c r="H886" i="7"/>
  <c r="D887" i="7"/>
  <c r="H887" i="7"/>
  <c r="D888" i="7"/>
  <c r="H888" i="7"/>
  <c r="D889" i="7"/>
  <c r="H889" i="7"/>
  <c r="D890" i="7"/>
  <c r="H890" i="7"/>
  <c r="D891" i="7"/>
  <c r="H891" i="7"/>
  <c r="D892" i="7"/>
  <c r="H892" i="7"/>
  <c r="D893" i="7"/>
  <c r="H893" i="7"/>
  <c r="D894" i="7"/>
  <c r="H894" i="7"/>
  <c r="D895" i="7"/>
  <c r="H895" i="7"/>
  <c r="D896" i="7"/>
  <c r="H896" i="7"/>
  <c r="D897" i="7"/>
  <c r="H897" i="7"/>
  <c r="D898" i="7"/>
  <c r="H898" i="7"/>
  <c r="D899" i="7"/>
  <c r="H899" i="7"/>
  <c r="D900" i="7"/>
  <c r="H900" i="7"/>
  <c r="D901" i="7"/>
  <c r="H901" i="7"/>
  <c r="D902" i="7"/>
  <c r="H902" i="7"/>
  <c r="D903" i="7"/>
  <c r="H903" i="7"/>
  <c r="D904" i="7"/>
  <c r="H904" i="7"/>
  <c r="D905" i="7"/>
  <c r="H905" i="7"/>
  <c r="D906" i="7"/>
  <c r="H906" i="7"/>
  <c r="D907" i="7"/>
  <c r="H907" i="7"/>
  <c r="D908" i="7"/>
  <c r="H908" i="7"/>
  <c r="D909" i="7"/>
  <c r="H909" i="7"/>
  <c r="D910" i="7"/>
  <c r="H910" i="7"/>
  <c r="D911" i="7"/>
  <c r="H911" i="7"/>
  <c r="D912" i="7"/>
  <c r="H912" i="7"/>
  <c r="D913" i="7"/>
  <c r="H913" i="7"/>
  <c r="D914" i="7"/>
  <c r="H914" i="7"/>
  <c r="D915" i="7"/>
  <c r="H915" i="7"/>
  <c r="D916" i="7"/>
  <c r="H916" i="7"/>
  <c r="D917" i="7"/>
  <c r="H917" i="7"/>
  <c r="D918" i="7"/>
  <c r="H918" i="7"/>
  <c r="D919" i="7"/>
  <c r="H919" i="7"/>
  <c r="D920" i="7"/>
  <c r="H920" i="7"/>
  <c r="D921" i="7"/>
  <c r="H921" i="7"/>
  <c r="D922" i="7"/>
  <c r="H922" i="7"/>
  <c r="D923" i="7"/>
  <c r="H923" i="7"/>
  <c r="D924" i="7"/>
  <c r="H924" i="7"/>
  <c r="D925" i="7"/>
  <c r="H925" i="7"/>
  <c r="D926" i="7"/>
  <c r="H926" i="7"/>
  <c r="D927" i="7"/>
  <c r="H927" i="7"/>
  <c r="D928" i="7"/>
  <c r="H928" i="7"/>
  <c r="D929" i="7"/>
  <c r="H929" i="7"/>
  <c r="D930" i="7"/>
  <c r="H930" i="7"/>
  <c r="D931" i="7"/>
  <c r="H931" i="7"/>
  <c r="D932" i="7"/>
  <c r="H932" i="7"/>
  <c r="D933" i="7"/>
  <c r="H933" i="7"/>
  <c r="D934" i="7"/>
  <c r="H934" i="7"/>
  <c r="D935" i="7"/>
  <c r="H935" i="7"/>
  <c r="D936" i="7"/>
  <c r="H936" i="7"/>
  <c r="D937" i="7"/>
  <c r="H937" i="7"/>
  <c r="D938" i="7"/>
  <c r="H938" i="7"/>
  <c r="D939" i="7"/>
  <c r="H939" i="7"/>
  <c r="D940" i="7"/>
  <c r="H940" i="7"/>
  <c r="D941" i="7"/>
  <c r="H941" i="7"/>
  <c r="D942" i="7"/>
  <c r="H942" i="7"/>
  <c r="D943" i="7"/>
  <c r="H943" i="7"/>
  <c r="D944" i="7"/>
  <c r="H944" i="7"/>
  <c r="D945" i="7"/>
  <c r="H945" i="7"/>
  <c r="D946" i="7"/>
  <c r="H946" i="7"/>
  <c r="D947" i="7"/>
  <c r="H947" i="7"/>
  <c r="D948" i="7"/>
  <c r="H948" i="7"/>
  <c r="D949" i="7"/>
  <c r="H949" i="7"/>
  <c r="D950" i="7"/>
  <c r="H950" i="7"/>
  <c r="D951" i="7"/>
  <c r="H951" i="7"/>
  <c r="D952" i="7"/>
  <c r="H952" i="7"/>
  <c r="D953" i="7"/>
  <c r="H953" i="7"/>
  <c r="D954" i="7"/>
  <c r="H954" i="7"/>
  <c r="D955" i="7"/>
  <c r="H955" i="7"/>
  <c r="D956" i="7"/>
  <c r="H956" i="7"/>
  <c r="D957" i="7"/>
  <c r="H957" i="7"/>
  <c r="D958" i="7"/>
  <c r="H958" i="7"/>
  <c r="D959" i="7"/>
  <c r="H959" i="7"/>
  <c r="D960" i="7"/>
  <c r="H960" i="7"/>
  <c r="D961" i="7"/>
  <c r="H961" i="7"/>
  <c r="D962" i="7"/>
  <c r="H962" i="7"/>
  <c r="D963" i="7"/>
  <c r="H963" i="7"/>
  <c r="D964" i="7"/>
  <c r="H964" i="7"/>
  <c r="D965" i="7"/>
  <c r="H965" i="7"/>
  <c r="D966" i="7"/>
  <c r="H966" i="7"/>
  <c r="D967" i="7"/>
  <c r="H967" i="7"/>
  <c r="D968" i="7"/>
  <c r="H968" i="7"/>
  <c r="D969" i="7"/>
  <c r="H969" i="7"/>
  <c r="D970" i="7"/>
  <c r="H970" i="7"/>
  <c r="D971" i="7"/>
  <c r="H971" i="7"/>
  <c r="D972" i="7"/>
  <c r="H972" i="7"/>
  <c r="D973" i="7"/>
  <c r="H973" i="7"/>
  <c r="D974" i="7"/>
  <c r="H974" i="7"/>
  <c r="D975" i="7"/>
  <c r="H975" i="7"/>
  <c r="D976" i="7"/>
  <c r="H976" i="7"/>
  <c r="D977" i="7"/>
  <c r="H977" i="7"/>
  <c r="D978" i="7"/>
  <c r="H978" i="7"/>
  <c r="D979" i="7"/>
  <c r="H979" i="7"/>
  <c r="D980" i="7"/>
  <c r="H980" i="7"/>
  <c r="D981" i="7"/>
  <c r="H981" i="7"/>
  <c r="D982" i="7"/>
  <c r="H982" i="7"/>
  <c r="D983" i="7"/>
  <c r="H983" i="7"/>
  <c r="D984" i="7"/>
  <c r="H984" i="7"/>
  <c r="D985" i="7"/>
  <c r="H985" i="7"/>
  <c r="D986" i="7"/>
  <c r="H986" i="7"/>
  <c r="D987" i="7"/>
  <c r="H987" i="7"/>
  <c r="D988" i="7"/>
  <c r="H988" i="7"/>
  <c r="D989" i="7"/>
  <c r="H989" i="7"/>
  <c r="D990" i="7"/>
  <c r="H990" i="7"/>
  <c r="D991" i="7"/>
  <c r="H991" i="7"/>
  <c r="D992" i="7"/>
  <c r="H992" i="7"/>
  <c r="D993" i="7"/>
  <c r="H993" i="7"/>
  <c r="D994" i="7"/>
  <c r="H994" i="7"/>
  <c r="D995" i="7"/>
  <c r="H995" i="7"/>
  <c r="D996" i="7"/>
  <c r="H996" i="7"/>
  <c r="D997" i="7"/>
  <c r="H997" i="7"/>
  <c r="D998" i="7"/>
  <c r="H998" i="7"/>
  <c r="D999" i="7"/>
  <c r="H999" i="7"/>
  <c r="D1000" i="7"/>
  <c r="H1000" i="7"/>
  <c r="D1001" i="7"/>
  <c r="H1001" i="7"/>
  <c r="D1002" i="7"/>
  <c r="H1002" i="7"/>
  <c r="D1003" i="7"/>
  <c r="H1003" i="7"/>
  <c r="D1004" i="7"/>
  <c r="H1004" i="7"/>
  <c r="D1005" i="7"/>
  <c r="H1005" i="7"/>
  <c r="D1006" i="7"/>
  <c r="H1006" i="7"/>
  <c r="D1007" i="7"/>
  <c r="H1007" i="7"/>
  <c r="D1008" i="7"/>
  <c r="H1008" i="7"/>
  <c r="D1009" i="7"/>
  <c r="H1009" i="7"/>
  <c r="D1010" i="7"/>
  <c r="H1010" i="7"/>
  <c r="D1011" i="7"/>
  <c r="H1011" i="7"/>
  <c r="D1012" i="7"/>
  <c r="H1012" i="7"/>
  <c r="D1013" i="7"/>
  <c r="H1013" i="7"/>
  <c r="D1014" i="7"/>
  <c r="H1014" i="7"/>
  <c r="D1015" i="7"/>
  <c r="H1015" i="7"/>
  <c r="D1016" i="7"/>
  <c r="H1016" i="7"/>
  <c r="D1017" i="7"/>
  <c r="H1017" i="7"/>
  <c r="D1018" i="7"/>
  <c r="H1018" i="7"/>
  <c r="D1019" i="7"/>
  <c r="H1019" i="7"/>
  <c r="D1020" i="7"/>
  <c r="H1020" i="7"/>
  <c r="D1021" i="7"/>
  <c r="H1021" i="7"/>
  <c r="D1022" i="7"/>
  <c r="H1022" i="7"/>
  <c r="D1023" i="7"/>
  <c r="H1023" i="7"/>
  <c r="D1024" i="7"/>
  <c r="H1024" i="7"/>
  <c r="D1025" i="7"/>
  <c r="H1025" i="7"/>
  <c r="D1026" i="7"/>
  <c r="H1026" i="7"/>
  <c r="D1027" i="7"/>
  <c r="H1027" i="7"/>
  <c r="D1028" i="7"/>
  <c r="H1028" i="7"/>
  <c r="D1029" i="7"/>
  <c r="H1029" i="7"/>
  <c r="D1030" i="7"/>
  <c r="H1030" i="7"/>
  <c r="D1031" i="7"/>
  <c r="H1031" i="7"/>
  <c r="D1032" i="7"/>
  <c r="H1032" i="7"/>
  <c r="D1033" i="7"/>
  <c r="H1033" i="7"/>
  <c r="D1034" i="7"/>
  <c r="H1034" i="7"/>
  <c r="D1035" i="7"/>
  <c r="H1035" i="7"/>
  <c r="D1036" i="7"/>
  <c r="H1036" i="7"/>
  <c r="D1037" i="7"/>
  <c r="H1037" i="7"/>
  <c r="D1038" i="7"/>
  <c r="H1038" i="7"/>
  <c r="D1039" i="7"/>
  <c r="H1039" i="7"/>
  <c r="D1040" i="7"/>
  <c r="H1040" i="7"/>
  <c r="D1041" i="7"/>
  <c r="H1041" i="7"/>
  <c r="D1042" i="7"/>
  <c r="H1042" i="7"/>
  <c r="D1043" i="7"/>
  <c r="H1043" i="7"/>
  <c r="D1044" i="7"/>
  <c r="H1044" i="7"/>
  <c r="D1045" i="7"/>
  <c r="H1045" i="7"/>
  <c r="D1046" i="7"/>
  <c r="H1046" i="7"/>
  <c r="D1047" i="7"/>
  <c r="H1047" i="7"/>
  <c r="D1048" i="7"/>
  <c r="H1048" i="7"/>
  <c r="D1049" i="7"/>
  <c r="H1049" i="7"/>
  <c r="D1050" i="7"/>
  <c r="H1050" i="7"/>
  <c r="D1051" i="7"/>
  <c r="H1051" i="7"/>
  <c r="D1052" i="7"/>
  <c r="H1052" i="7"/>
  <c r="D1053" i="7"/>
  <c r="H1053" i="7"/>
  <c r="D1054" i="7"/>
  <c r="H1054" i="7"/>
  <c r="D1055" i="7"/>
  <c r="H1055" i="7"/>
  <c r="D1056" i="7"/>
  <c r="H1056" i="7"/>
  <c r="D1057" i="7"/>
  <c r="H1057" i="7"/>
  <c r="D1058" i="7"/>
  <c r="H1058" i="7"/>
  <c r="D1059" i="7"/>
  <c r="H1059" i="7"/>
  <c r="D1060" i="7"/>
  <c r="H1060" i="7"/>
  <c r="D1061" i="7"/>
  <c r="H1061" i="7"/>
  <c r="D1062" i="7"/>
  <c r="H1062" i="7"/>
  <c r="D1063" i="7"/>
  <c r="H1063" i="7"/>
  <c r="D1064" i="7"/>
  <c r="H1064" i="7"/>
  <c r="D1065" i="7"/>
  <c r="H1065" i="7"/>
  <c r="D1066" i="7"/>
  <c r="H1066" i="7"/>
  <c r="D1067" i="7"/>
  <c r="H1067" i="7"/>
  <c r="D1068" i="7"/>
  <c r="H1068" i="7"/>
  <c r="D1069" i="7"/>
  <c r="H1069" i="7"/>
  <c r="D1070" i="7"/>
  <c r="H1070" i="7"/>
  <c r="D1071" i="7"/>
  <c r="H1071" i="7"/>
  <c r="D1072" i="7"/>
  <c r="H1072" i="7"/>
  <c r="D1073" i="7"/>
  <c r="H1073" i="7"/>
  <c r="D1074" i="7"/>
  <c r="H1074" i="7"/>
  <c r="D1075" i="7"/>
  <c r="H1075" i="7"/>
  <c r="D1076" i="7"/>
  <c r="H1076" i="7"/>
  <c r="D1077" i="7"/>
  <c r="H1077" i="7"/>
  <c r="D1078" i="7"/>
  <c r="H1078" i="7"/>
  <c r="D1079" i="7"/>
  <c r="H1079" i="7"/>
  <c r="D1080" i="7"/>
  <c r="H1080" i="7"/>
  <c r="D1081" i="7"/>
  <c r="H1081" i="7"/>
  <c r="D1082" i="7"/>
  <c r="H1082" i="7"/>
  <c r="D1083" i="7"/>
  <c r="H1083" i="7"/>
  <c r="D1084" i="7"/>
  <c r="H1084" i="7"/>
  <c r="D1085" i="7"/>
  <c r="H1085" i="7"/>
  <c r="D1086" i="7"/>
  <c r="H1086" i="7"/>
  <c r="D1087" i="7"/>
  <c r="H1087" i="7"/>
  <c r="D1088" i="7"/>
  <c r="H1088" i="7"/>
  <c r="D1089" i="7"/>
  <c r="H1089" i="7"/>
  <c r="D1090" i="7"/>
  <c r="H1090" i="7"/>
  <c r="D1091" i="7"/>
  <c r="H1091" i="7"/>
  <c r="D1092" i="7"/>
  <c r="H1092" i="7"/>
  <c r="D1093" i="7"/>
  <c r="H1093" i="7"/>
  <c r="D1094" i="7"/>
  <c r="H1094" i="7"/>
  <c r="D1095" i="7"/>
  <c r="H1095" i="7"/>
  <c r="D1096" i="7"/>
  <c r="H1096" i="7"/>
  <c r="D1097" i="7"/>
  <c r="H1097" i="7"/>
  <c r="D1098" i="7"/>
  <c r="H1098" i="7"/>
  <c r="D1099" i="7"/>
  <c r="H1099" i="7"/>
  <c r="D1100" i="7"/>
  <c r="H1100" i="7"/>
  <c r="D1101" i="7"/>
  <c r="H1101" i="7"/>
  <c r="C737" i="7"/>
  <c r="E737" i="7"/>
  <c r="C738" i="7"/>
  <c r="E738" i="7"/>
  <c r="C739" i="7"/>
  <c r="E739" i="7"/>
  <c r="C740" i="7"/>
  <c r="E740" i="7"/>
  <c r="C741" i="7"/>
  <c r="E741" i="7"/>
  <c r="C742" i="7"/>
  <c r="E742" i="7"/>
  <c r="C743" i="7"/>
  <c r="E743" i="7"/>
  <c r="C744" i="7"/>
  <c r="E744" i="7"/>
  <c r="C745" i="7"/>
  <c r="E745" i="7"/>
  <c r="C746" i="7"/>
  <c r="E746" i="7"/>
  <c r="C747" i="7"/>
  <c r="E747" i="7"/>
  <c r="C748" i="7"/>
  <c r="E748" i="7"/>
  <c r="C749" i="7"/>
  <c r="E749" i="7"/>
  <c r="C750" i="7"/>
  <c r="E750" i="7"/>
  <c r="C751" i="7"/>
  <c r="E751" i="7"/>
  <c r="C752" i="7"/>
  <c r="E752" i="7"/>
  <c r="C753" i="7"/>
  <c r="E753" i="7"/>
  <c r="C754" i="7"/>
  <c r="E754" i="7"/>
  <c r="C755" i="7"/>
  <c r="E755" i="7"/>
  <c r="C756" i="7"/>
  <c r="E756" i="7"/>
  <c r="C757" i="7"/>
  <c r="E757" i="7"/>
  <c r="C758" i="7"/>
  <c r="E758" i="7"/>
  <c r="C759" i="7"/>
  <c r="E759" i="7"/>
  <c r="C760" i="7"/>
  <c r="E760" i="7"/>
  <c r="C761" i="7"/>
  <c r="E761" i="7"/>
  <c r="C762" i="7"/>
  <c r="E762" i="7"/>
  <c r="C763" i="7"/>
  <c r="E763" i="7"/>
  <c r="C764" i="7"/>
  <c r="E764" i="7"/>
  <c r="C765" i="7"/>
  <c r="E765" i="7"/>
  <c r="C766" i="7"/>
  <c r="E766" i="7"/>
  <c r="C767" i="7"/>
  <c r="E767" i="7"/>
  <c r="C768" i="7"/>
  <c r="E768" i="7"/>
  <c r="C769" i="7"/>
  <c r="E769" i="7"/>
  <c r="C770" i="7"/>
  <c r="E770" i="7"/>
  <c r="C771" i="7"/>
  <c r="E771" i="7"/>
  <c r="C772" i="7"/>
  <c r="E772" i="7"/>
  <c r="C773" i="7"/>
  <c r="E773" i="7"/>
  <c r="C774" i="7"/>
  <c r="E774" i="7"/>
  <c r="C775" i="7"/>
  <c r="E775" i="7"/>
  <c r="C776" i="7"/>
  <c r="E776" i="7"/>
  <c r="C777" i="7"/>
  <c r="E777" i="7"/>
  <c r="C778" i="7"/>
  <c r="E778" i="7"/>
  <c r="C779" i="7"/>
  <c r="E779" i="7"/>
  <c r="C780" i="7"/>
  <c r="E780" i="7"/>
  <c r="C781" i="7"/>
  <c r="E781" i="7"/>
  <c r="C782" i="7"/>
  <c r="E782" i="7"/>
  <c r="C783" i="7"/>
  <c r="E783" i="7"/>
  <c r="C784" i="7"/>
  <c r="E784" i="7"/>
  <c r="C785" i="7"/>
  <c r="E785" i="7"/>
  <c r="C786" i="7"/>
  <c r="E786" i="7"/>
  <c r="C787" i="7"/>
  <c r="E787" i="7"/>
  <c r="C788" i="7"/>
  <c r="E788" i="7"/>
  <c r="C789" i="7"/>
  <c r="E789" i="7"/>
  <c r="C790" i="7"/>
  <c r="E790" i="7"/>
  <c r="C791" i="7"/>
  <c r="E791" i="7"/>
  <c r="C792" i="7"/>
  <c r="E792" i="7"/>
  <c r="C793" i="7"/>
  <c r="E793" i="7"/>
  <c r="C794" i="7"/>
  <c r="E794" i="7"/>
  <c r="C795" i="7"/>
  <c r="E795" i="7"/>
  <c r="C796" i="7"/>
  <c r="E796" i="7"/>
  <c r="C797" i="7"/>
  <c r="E797" i="7"/>
  <c r="C798" i="7"/>
  <c r="E798" i="7"/>
  <c r="C799" i="7"/>
  <c r="E799" i="7"/>
  <c r="C800" i="7"/>
  <c r="E800" i="7"/>
  <c r="C801" i="7"/>
  <c r="E801" i="7"/>
  <c r="C802" i="7"/>
  <c r="E802" i="7"/>
  <c r="C803" i="7"/>
  <c r="E803" i="7"/>
  <c r="C804" i="7"/>
  <c r="E804" i="7"/>
  <c r="C805" i="7"/>
  <c r="E805" i="7"/>
  <c r="C806" i="7"/>
  <c r="E806" i="7"/>
  <c r="C807" i="7"/>
  <c r="E807" i="7"/>
  <c r="C808" i="7"/>
  <c r="E808" i="7"/>
  <c r="C809" i="7"/>
  <c r="E809" i="7"/>
  <c r="C810" i="7"/>
  <c r="E810" i="7"/>
  <c r="C811" i="7"/>
  <c r="E811" i="7"/>
  <c r="C812" i="7"/>
  <c r="E812" i="7"/>
  <c r="C813" i="7"/>
  <c r="E813" i="7"/>
  <c r="C814" i="7"/>
  <c r="E814" i="7"/>
  <c r="C815" i="7"/>
  <c r="E815" i="7"/>
  <c r="C816" i="7"/>
  <c r="E816" i="7"/>
  <c r="C817" i="7"/>
  <c r="E817" i="7"/>
  <c r="C818" i="7"/>
  <c r="E818" i="7"/>
  <c r="C819" i="7"/>
  <c r="E819" i="7"/>
  <c r="C820" i="7"/>
  <c r="E820" i="7"/>
  <c r="C821" i="7"/>
  <c r="E821" i="7"/>
  <c r="C822" i="7"/>
  <c r="E822" i="7"/>
  <c r="C823" i="7"/>
  <c r="E823" i="7"/>
  <c r="C824" i="7"/>
  <c r="E824" i="7"/>
  <c r="C825" i="7"/>
  <c r="E825" i="7"/>
  <c r="C826" i="7"/>
  <c r="E826" i="7"/>
  <c r="C827" i="7"/>
  <c r="E827" i="7"/>
  <c r="C828" i="7"/>
  <c r="E828" i="7"/>
  <c r="C829" i="7"/>
  <c r="E829" i="7"/>
  <c r="C830" i="7"/>
  <c r="E830" i="7"/>
  <c r="C831" i="7"/>
  <c r="E831" i="7"/>
  <c r="C832" i="7"/>
  <c r="E832" i="7"/>
  <c r="C833" i="7"/>
  <c r="E833" i="7"/>
  <c r="C834" i="7"/>
  <c r="E834" i="7"/>
  <c r="C835" i="7"/>
  <c r="E835" i="7"/>
  <c r="C836" i="7"/>
  <c r="E836" i="7"/>
  <c r="C837" i="7"/>
  <c r="E837" i="7"/>
  <c r="C838" i="7"/>
  <c r="E838" i="7"/>
  <c r="C839" i="7"/>
  <c r="E839" i="7"/>
  <c r="C840" i="7"/>
  <c r="E840" i="7"/>
  <c r="C841" i="7"/>
  <c r="E841" i="7"/>
  <c r="C842" i="7"/>
  <c r="E842" i="7"/>
  <c r="C843" i="7"/>
  <c r="E843" i="7"/>
  <c r="C844" i="7"/>
  <c r="E844" i="7"/>
  <c r="C845" i="7"/>
  <c r="E845" i="7"/>
  <c r="C846" i="7"/>
  <c r="E846" i="7"/>
  <c r="C847" i="7"/>
  <c r="E847" i="7"/>
  <c r="C848" i="7"/>
  <c r="E848" i="7"/>
  <c r="C849" i="7"/>
  <c r="E849" i="7"/>
  <c r="C850" i="7"/>
  <c r="E850" i="7"/>
  <c r="C851" i="7"/>
  <c r="E851" i="7"/>
  <c r="C852" i="7"/>
  <c r="E852" i="7"/>
  <c r="C853" i="7"/>
  <c r="E853" i="7"/>
  <c r="C854" i="7"/>
  <c r="E854" i="7"/>
  <c r="C855" i="7"/>
  <c r="E855" i="7"/>
  <c r="C856" i="7"/>
  <c r="E856" i="7"/>
  <c r="C857" i="7"/>
  <c r="E857" i="7"/>
  <c r="C858" i="7"/>
  <c r="E858" i="7"/>
  <c r="C859" i="7"/>
  <c r="E859" i="7"/>
  <c r="C860" i="7"/>
  <c r="E860" i="7"/>
  <c r="C861" i="7"/>
  <c r="E861" i="7"/>
  <c r="C862" i="7"/>
  <c r="E862" i="7"/>
  <c r="C863" i="7"/>
  <c r="E863" i="7"/>
  <c r="C864" i="7"/>
  <c r="E864" i="7"/>
  <c r="C865" i="7"/>
  <c r="E865" i="7"/>
  <c r="C866" i="7"/>
  <c r="E866" i="7"/>
  <c r="C867" i="7"/>
  <c r="E867" i="7"/>
  <c r="C868" i="7"/>
  <c r="E868" i="7"/>
  <c r="C869" i="7"/>
  <c r="E869" i="7"/>
  <c r="C870" i="7"/>
  <c r="E870" i="7"/>
  <c r="C871" i="7"/>
  <c r="E871" i="7"/>
  <c r="C872" i="7"/>
  <c r="E872" i="7"/>
  <c r="C873" i="7"/>
  <c r="E873" i="7"/>
  <c r="C874" i="7"/>
  <c r="E874" i="7"/>
  <c r="C875" i="7"/>
  <c r="E875" i="7"/>
  <c r="C876" i="7"/>
  <c r="E876" i="7"/>
  <c r="C877" i="7"/>
  <c r="E877" i="7"/>
  <c r="C878" i="7"/>
  <c r="E878" i="7"/>
  <c r="C879" i="7"/>
  <c r="E879" i="7"/>
  <c r="C880" i="7"/>
  <c r="E880" i="7"/>
  <c r="C881" i="7"/>
  <c r="E881" i="7"/>
  <c r="C882" i="7"/>
  <c r="E882" i="7"/>
  <c r="C883" i="7"/>
  <c r="E883" i="7"/>
  <c r="C884" i="7"/>
  <c r="E884" i="7"/>
  <c r="C885" i="7"/>
  <c r="E885" i="7"/>
  <c r="C886" i="7"/>
  <c r="E886" i="7"/>
  <c r="C887" i="7"/>
  <c r="E887" i="7"/>
  <c r="C888" i="7"/>
  <c r="E888" i="7"/>
  <c r="C889" i="7"/>
  <c r="E889" i="7"/>
  <c r="C890" i="7"/>
  <c r="E890" i="7"/>
  <c r="C891" i="7"/>
  <c r="E891" i="7"/>
  <c r="C892" i="7"/>
  <c r="E892" i="7"/>
  <c r="C893" i="7"/>
  <c r="E893" i="7"/>
  <c r="C894" i="7"/>
  <c r="E894" i="7"/>
  <c r="C895" i="7"/>
  <c r="E895" i="7"/>
  <c r="C896" i="7"/>
  <c r="E896" i="7"/>
  <c r="C897" i="7"/>
  <c r="E897" i="7"/>
  <c r="C898" i="7"/>
  <c r="E898" i="7"/>
  <c r="C899" i="7"/>
  <c r="E899" i="7"/>
  <c r="C900" i="7"/>
  <c r="E900" i="7"/>
  <c r="C901" i="7"/>
  <c r="E901" i="7"/>
  <c r="C902" i="7"/>
  <c r="E902" i="7"/>
  <c r="C903" i="7"/>
  <c r="E903" i="7"/>
  <c r="C904" i="7"/>
  <c r="E904" i="7"/>
  <c r="C905" i="7"/>
  <c r="E905" i="7"/>
  <c r="C906" i="7"/>
  <c r="E906" i="7"/>
  <c r="C907" i="7"/>
  <c r="E907" i="7"/>
  <c r="C908" i="7"/>
  <c r="E908" i="7"/>
  <c r="C909" i="7"/>
  <c r="E909" i="7"/>
  <c r="C910" i="7"/>
  <c r="E910" i="7"/>
  <c r="C911" i="7"/>
  <c r="E911" i="7"/>
  <c r="C912" i="7"/>
  <c r="E912" i="7"/>
  <c r="C913" i="7"/>
  <c r="E913" i="7"/>
  <c r="C914" i="7"/>
  <c r="E914" i="7"/>
  <c r="C915" i="7"/>
  <c r="E915" i="7"/>
  <c r="C916" i="7"/>
  <c r="E916" i="7"/>
  <c r="C917" i="7"/>
  <c r="E917" i="7"/>
  <c r="C918" i="7"/>
  <c r="E918" i="7"/>
  <c r="C919" i="7"/>
  <c r="E919" i="7"/>
  <c r="C920" i="7"/>
  <c r="E920" i="7"/>
  <c r="C921" i="7"/>
  <c r="E921" i="7"/>
  <c r="C922" i="7"/>
  <c r="E922" i="7"/>
  <c r="C923" i="7"/>
  <c r="E923" i="7"/>
  <c r="C924" i="7"/>
  <c r="E924" i="7"/>
  <c r="C925" i="7"/>
  <c r="E925" i="7"/>
  <c r="C926" i="7"/>
  <c r="E926" i="7"/>
  <c r="C927" i="7"/>
  <c r="E927" i="7"/>
  <c r="C928" i="7"/>
  <c r="E928" i="7"/>
  <c r="C929" i="7"/>
  <c r="E929" i="7"/>
  <c r="C930" i="7"/>
  <c r="E930" i="7"/>
  <c r="C931" i="7"/>
  <c r="E931" i="7"/>
  <c r="C932" i="7"/>
  <c r="E932" i="7"/>
  <c r="C933" i="7"/>
  <c r="E933" i="7"/>
  <c r="C934" i="7"/>
  <c r="E934" i="7"/>
  <c r="C935" i="7"/>
  <c r="E935" i="7"/>
  <c r="C936" i="7"/>
  <c r="E936" i="7"/>
  <c r="C937" i="7"/>
  <c r="E937" i="7"/>
  <c r="C938" i="7"/>
  <c r="E938" i="7"/>
  <c r="C939" i="7"/>
  <c r="E939" i="7"/>
  <c r="C940" i="7"/>
  <c r="E940" i="7"/>
  <c r="C941" i="7"/>
  <c r="E941" i="7"/>
  <c r="C942" i="7"/>
  <c r="E942" i="7"/>
  <c r="C943" i="7"/>
  <c r="E943" i="7"/>
  <c r="C944" i="7"/>
  <c r="E944" i="7"/>
  <c r="C945" i="7"/>
  <c r="E945" i="7"/>
  <c r="C946" i="7"/>
  <c r="E946" i="7"/>
  <c r="C947" i="7"/>
  <c r="E947" i="7"/>
  <c r="C948" i="7"/>
  <c r="E948" i="7"/>
  <c r="C949" i="7"/>
  <c r="E949" i="7"/>
  <c r="C950" i="7"/>
  <c r="E950" i="7"/>
  <c r="C951" i="7"/>
  <c r="E951" i="7"/>
  <c r="C952" i="7"/>
  <c r="E952" i="7"/>
  <c r="C953" i="7"/>
  <c r="E953" i="7"/>
  <c r="C954" i="7"/>
  <c r="E954" i="7"/>
  <c r="C955" i="7"/>
  <c r="E955" i="7"/>
  <c r="C956" i="7"/>
  <c r="E956" i="7"/>
  <c r="C957" i="7"/>
  <c r="E957" i="7"/>
  <c r="C958" i="7"/>
  <c r="E958" i="7"/>
  <c r="C959" i="7"/>
  <c r="E959" i="7"/>
  <c r="C960" i="7"/>
  <c r="E960" i="7"/>
  <c r="C961" i="7"/>
  <c r="E961" i="7"/>
  <c r="C962" i="7"/>
  <c r="E962" i="7"/>
  <c r="C963" i="7"/>
  <c r="E963" i="7"/>
  <c r="C964" i="7"/>
  <c r="E964" i="7"/>
  <c r="C965" i="7"/>
  <c r="E965" i="7"/>
  <c r="C966" i="7"/>
  <c r="E966" i="7"/>
  <c r="C967" i="7"/>
  <c r="E967" i="7"/>
  <c r="C968" i="7"/>
  <c r="E968" i="7"/>
  <c r="C969" i="7"/>
  <c r="E969" i="7"/>
  <c r="C970" i="7"/>
  <c r="E970" i="7"/>
  <c r="C971" i="7"/>
  <c r="E971" i="7"/>
  <c r="C972" i="7"/>
  <c r="E972" i="7"/>
  <c r="C973" i="7"/>
  <c r="E973" i="7"/>
  <c r="C974" i="7"/>
  <c r="E974" i="7"/>
  <c r="C975" i="7"/>
  <c r="E975" i="7"/>
  <c r="C976" i="7"/>
  <c r="E976" i="7"/>
  <c r="C977" i="7"/>
  <c r="E977" i="7"/>
  <c r="C978" i="7"/>
  <c r="E978" i="7"/>
  <c r="C979" i="7"/>
  <c r="E979" i="7"/>
  <c r="C980" i="7"/>
  <c r="E980" i="7"/>
  <c r="C981" i="7"/>
  <c r="E981" i="7"/>
  <c r="C982" i="7"/>
  <c r="E982" i="7"/>
  <c r="C983" i="7"/>
  <c r="E983" i="7"/>
  <c r="C984" i="7"/>
  <c r="E984" i="7"/>
  <c r="C985" i="7"/>
  <c r="E985" i="7"/>
  <c r="C986" i="7"/>
  <c r="E986" i="7"/>
  <c r="C987" i="7"/>
  <c r="E987" i="7"/>
  <c r="C988" i="7"/>
  <c r="E988" i="7"/>
  <c r="C989" i="7"/>
  <c r="E989" i="7"/>
  <c r="C990" i="7"/>
  <c r="E990" i="7"/>
  <c r="C991" i="7"/>
  <c r="E991" i="7"/>
  <c r="C992" i="7"/>
  <c r="E992" i="7"/>
  <c r="C993" i="7"/>
  <c r="E993" i="7"/>
  <c r="C994" i="7"/>
  <c r="E994" i="7"/>
  <c r="C995" i="7"/>
  <c r="E995" i="7"/>
  <c r="C996" i="7"/>
  <c r="E996" i="7"/>
  <c r="C997" i="7"/>
  <c r="E997" i="7"/>
  <c r="C998" i="7"/>
  <c r="E998" i="7"/>
  <c r="C999" i="7"/>
  <c r="E999" i="7"/>
  <c r="C1000" i="7"/>
  <c r="E1000" i="7"/>
  <c r="C1001" i="7"/>
  <c r="E1001" i="7"/>
  <c r="C1002" i="7"/>
  <c r="E1002" i="7"/>
  <c r="C1003" i="7"/>
  <c r="E1003" i="7"/>
  <c r="C1004" i="7"/>
  <c r="E1004" i="7"/>
  <c r="C1005" i="7"/>
  <c r="E1005" i="7"/>
  <c r="C1006" i="7"/>
  <c r="E1006" i="7"/>
  <c r="C1007" i="7"/>
  <c r="E1007" i="7"/>
  <c r="C1008" i="7"/>
  <c r="E1008" i="7"/>
  <c r="C1009" i="7"/>
  <c r="E1009" i="7"/>
  <c r="C1010" i="7"/>
  <c r="E1010" i="7"/>
  <c r="C1011" i="7"/>
  <c r="E1011" i="7"/>
  <c r="C1012" i="7"/>
  <c r="E1012" i="7"/>
  <c r="C1013" i="7"/>
  <c r="E1013" i="7"/>
  <c r="C1014" i="7"/>
  <c r="E1014" i="7"/>
  <c r="C1015" i="7"/>
  <c r="E1015" i="7"/>
  <c r="C1016" i="7"/>
  <c r="E1016" i="7"/>
  <c r="C1017" i="7"/>
  <c r="E1017" i="7"/>
  <c r="C1018" i="7"/>
  <c r="E1018" i="7"/>
  <c r="C1019" i="7"/>
  <c r="E1019" i="7"/>
  <c r="C1020" i="7"/>
  <c r="E1020" i="7"/>
  <c r="C1021" i="7"/>
  <c r="E1021" i="7"/>
  <c r="C1022" i="7"/>
  <c r="E1022" i="7"/>
  <c r="C1023" i="7"/>
  <c r="E1023" i="7"/>
  <c r="C1024" i="7"/>
  <c r="E1024" i="7"/>
  <c r="C1025" i="7"/>
  <c r="E1025" i="7"/>
  <c r="C1026" i="7"/>
  <c r="E1026" i="7"/>
  <c r="C1027" i="7"/>
  <c r="E1027" i="7"/>
  <c r="C1028" i="7"/>
  <c r="E1028" i="7"/>
  <c r="C1029" i="7"/>
  <c r="E1029" i="7"/>
  <c r="C1030" i="7"/>
  <c r="E1030" i="7"/>
  <c r="C1031" i="7"/>
  <c r="E1031" i="7"/>
  <c r="C1032" i="7"/>
  <c r="E1032" i="7"/>
  <c r="C1033" i="7"/>
  <c r="E1033" i="7"/>
  <c r="C1034" i="7"/>
  <c r="E1034" i="7"/>
  <c r="C1035" i="7"/>
  <c r="E1035" i="7"/>
  <c r="C1036" i="7"/>
  <c r="E1036" i="7"/>
  <c r="C1037" i="7"/>
  <c r="E1037" i="7"/>
  <c r="C1038" i="7"/>
  <c r="E1038" i="7"/>
  <c r="C1039" i="7"/>
  <c r="E1039" i="7"/>
  <c r="C1040" i="7"/>
  <c r="E1040" i="7"/>
  <c r="C1041" i="7"/>
  <c r="E1041" i="7"/>
  <c r="C1042" i="7"/>
  <c r="E1042" i="7"/>
  <c r="C1043" i="7"/>
  <c r="E1043" i="7"/>
  <c r="C1044" i="7"/>
  <c r="E1044" i="7"/>
  <c r="C1045" i="7"/>
  <c r="E1045" i="7"/>
  <c r="C1046" i="7"/>
  <c r="E1046" i="7"/>
  <c r="C1047" i="7"/>
  <c r="E1047" i="7"/>
  <c r="C1048" i="7"/>
  <c r="E1048" i="7"/>
  <c r="C1049" i="7"/>
  <c r="E1049" i="7"/>
  <c r="C1050" i="7"/>
  <c r="E1050" i="7"/>
  <c r="C1051" i="7"/>
  <c r="E1051" i="7"/>
  <c r="C1052" i="7"/>
  <c r="E1052" i="7"/>
  <c r="C1053" i="7"/>
  <c r="E1053" i="7"/>
  <c r="C1054" i="7"/>
  <c r="E1054" i="7"/>
  <c r="C1055" i="7"/>
  <c r="E1055" i="7"/>
  <c r="C1056" i="7"/>
  <c r="E1056" i="7"/>
  <c r="C1057" i="7"/>
  <c r="E1057" i="7"/>
  <c r="C1058" i="7"/>
  <c r="E1058" i="7"/>
  <c r="C1059" i="7"/>
  <c r="E1059" i="7"/>
  <c r="C1060" i="7"/>
  <c r="E1060" i="7"/>
  <c r="C1061" i="7"/>
  <c r="E1061" i="7"/>
  <c r="C1062" i="7"/>
  <c r="E1062" i="7"/>
  <c r="C1063" i="7"/>
  <c r="E1063" i="7"/>
  <c r="C1064" i="7"/>
  <c r="E1064" i="7"/>
  <c r="C1065" i="7"/>
  <c r="E1065" i="7"/>
  <c r="C1066" i="7"/>
  <c r="E1066" i="7"/>
  <c r="C1067" i="7"/>
  <c r="E1067" i="7"/>
  <c r="C1068" i="7"/>
  <c r="E1068" i="7"/>
  <c r="C1069" i="7"/>
  <c r="E1069" i="7"/>
  <c r="C1070" i="7"/>
  <c r="E1070" i="7"/>
  <c r="C1071" i="7"/>
  <c r="E1071" i="7"/>
  <c r="C1072" i="7"/>
  <c r="E1072" i="7"/>
  <c r="C1073" i="7"/>
  <c r="E1073" i="7"/>
  <c r="C1074" i="7"/>
  <c r="E1074" i="7"/>
  <c r="C1075" i="7"/>
  <c r="E1075" i="7"/>
  <c r="C1076" i="7"/>
  <c r="E1076" i="7"/>
  <c r="C1077" i="7"/>
  <c r="E1077" i="7"/>
  <c r="C1078" i="7"/>
  <c r="E1078" i="7"/>
  <c r="C1079" i="7"/>
  <c r="E1079" i="7"/>
  <c r="C1080" i="7"/>
  <c r="E1080" i="7"/>
  <c r="C1081" i="7"/>
  <c r="E1081" i="7"/>
  <c r="C1082" i="7"/>
  <c r="E1082" i="7"/>
  <c r="C1083" i="7"/>
  <c r="E1083" i="7"/>
  <c r="C1084" i="7"/>
  <c r="E1084" i="7"/>
  <c r="C1085" i="7"/>
  <c r="E1085" i="7"/>
  <c r="C1086" i="7"/>
  <c r="E1086" i="7"/>
  <c r="C1087" i="7"/>
  <c r="E1087" i="7"/>
  <c r="C1088" i="7"/>
  <c r="E1088" i="7"/>
  <c r="C1089" i="7"/>
  <c r="E1089" i="7"/>
  <c r="C1090" i="7"/>
  <c r="E1090" i="7"/>
  <c r="C1091" i="7"/>
  <c r="E1091" i="7"/>
  <c r="C1092" i="7"/>
  <c r="E1092" i="7"/>
  <c r="C1093" i="7"/>
  <c r="E1093" i="7"/>
  <c r="C1094" i="7"/>
  <c r="E1094" i="7"/>
  <c r="C1095" i="7"/>
  <c r="E1095" i="7"/>
  <c r="C1096" i="7"/>
  <c r="E1096" i="7"/>
  <c r="C1097" i="7"/>
  <c r="E1097" i="7"/>
  <c r="C1098" i="7"/>
  <c r="E1098" i="7"/>
  <c r="C1099" i="7"/>
  <c r="E1099" i="7"/>
  <c r="C1100" i="7"/>
  <c r="E1100" i="7"/>
  <c r="C1101" i="7"/>
  <c r="E1101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6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6" i="7"/>
  <c r="H22" i="1"/>
  <c r="G22" i="1" s="1"/>
  <c r="F29" i="1" s="1"/>
  <c r="C22" i="1"/>
  <c r="C36" i="1" l="1"/>
  <c r="C39" i="1" s="1"/>
  <c r="C40" i="1" s="1"/>
  <c r="F40" i="1"/>
  <c r="F35" i="1"/>
  <c r="F38" i="1"/>
  <c r="F34" i="1"/>
  <c r="G35" i="1"/>
  <c r="G36" i="1" s="1"/>
  <c r="G38" i="1"/>
  <c r="F37" i="1"/>
  <c r="C27" i="1"/>
  <c r="C29" i="1" s="1"/>
  <c r="F25" i="1"/>
  <c r="F27" i="1"/>
  <c r="G25" i="1"/>
  <c r="G27" i="1" s="1"/>
  <c r="G29" i="1" s="1"/>
  <c r="G39" i="1" l="1"/>
  <c r="G40" i="1" s="1"/>
</calcChain>
</file>

<file path=xl/sharedStrings.xml><?xml version="1.0" encoding="utf-8"?>
<sst xmlns="http://schemas.openxmlformats.org/spreadsheetml/2006/main" count="33" uniqueCount="31">
  <si>
    <t>*NO constituye promesa en tasa, valor es solo indicativo y no contempla impuestos u otros</t>
  </si>
  <si>
    <t>Ventajas de la diversificación entre activos descorrelacionados</t>
  </si>
  <si>
    <t>Capital disponible</t>
  </si>
  <si>
    <t>Tasa referencia FIC renta fija</t>
  </si>
  <si>
    <t>Tasa referencia FIC activo alternativo</t>
  </si>
  <si>
    <t xml:space="preserve">Inversion en dias </t>
  </si>
  <si>
    <t>Fic Multiplicar</t>
  </si>
  <si>
    <t>Fecha</t>
  </si>
  <si>
    <t>Tasa</t>
  </si>
  <si>
    <t>Desde 2019</t>
  </si>
  <si>
    <t>(tasas estables)</t>
  </si>
  <si>
    <t>(Inicio de Inestabilidad)</t>
  </si>
  <si>
    <t>Fic Valor Plus</t>
  </si>
  <si>
    <t>Unidad VPL</t>
  </si>
  <si>
    <t>Unidad Multiplicar</t>
  </si>
  <si>
    <t>Aporte</t>
  </si>
  <si>
    <t>** Simulador con fines academicos. Esta tasa no es una promesa, solo indicativa para efectos de visualizar el beneficio de la inversion</t>
  </si>
  <si>
    <t>Inversion en dias</t>
  </si>
  <si>
    <t>Rentabilidad/riesgo</t>
  </si>
  <si>
    <r>
      <t xml:space="preserve">Perfil conservador y líquido
</t>
    </r>
    <r>
      <rPr>
        <sz val="11"/>
        <color theme="1" tint="0.34998626667073579"/>
        <rFont val="Calibri"/>
        <family val="2"/>
      </rPr>
      <t>Renta fija</t>
    </r>
  </si>
  <si>
    <t>Fecha de inicio de inversión</t>
  </si>
  <si>
    <t>Fecha de salida de inversión</t>
  </si>
  <si>
    <t>Simula el monto estimado a recibir y condiciones de inversión</t>
  </si>
  <si>
    <t>Conoce el comportamiento estimado según inversión efectuada</t>
  </si>
  <si>
    <t>Unidad entrada liquidez</t>
  </si>
  <si>
    <t>Unidad salida liquidez</t>
  </si>
  <si>
    <t>Beneficio</t>
  </si>
  <si>
    <r>
      <rPr>
        <b/>
        <sz val="11"/>
        <color theme="1" tint="0.34998626667073579"/>
        <rFont val="Calibri"/>
        <family val="2"/>
      </rPr>
      <t>Oportunidad de ingreso</t>
    </r>
    <r>
      <rPr>
        <sz val="11"/>
        <color theme="1" tint="0.34998626667073579"/>
        <rFont val="Calibri"/>
        <family val="2"/>
      </rPr>
      <t xml:space="preserve">
(Ante tasas bajas o expectativa de caida)</t>
    </r>
  </si>
  <si>
    <t>Diversificación
(Entre activos)</t>
  </si>
  <si>
    <r>
      <rPr>
        <b/>
        <u/>
        <sz val="16"/>
        <color rgb="FF027277"/>
        <rFont val="Calibri"/>
        <family val="2"/>
      </rPr>
      <t>Aporte</t>
    </r>
    <r>
      <rPr>
        <b/>
        <u/>
        <sz val="16"/>
        <color theme="1" tint="0.34998626667073579"/>
        <rFont val="Calibri"/>
        <family val="2"/>
      </rPr>
      <t xml:space="preserve"> </t>
    </r>
  </si>
  <si>
    <r>
      <t xml:space="preserve">Perfil moderado alto /arriesgado 
</t>
    </r>
    <r>
      <rPr>
        <sz val="11"/>
        <color rgb="FF595959"/>
        <rFont val="Calibri"/>
        <family val="2"/>
      </rPr>
      <t>Activos alternativo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</si>
</sst>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&quot;$&quot;\ * #,##0.00_);_(&quot;$&quot;\ * \(#,##0.00\);_(&quot;$&quot;\ * &quot;-&quot;??_);_(@_)"/>
    <numFmt numFmtId="167" formatCode="&quot;$&quot;\ #,##0.00_);[Red]\(&quot;$&quot;\ #,##0.00\)"/>
    <numFmt numFmtId="168" formatCode="_(&quot;$&quot;\ * #,##0_);_(&quot;$&quot;\ * \(#,##0\);_(&quot;$&quot;\ * &quot;-&quot;??_);_(@_)"/>
  </numFmts>
  <fonts count="29" x14ac:knownFonts="1">
    <font>
      <sz val="11"/>
      <color theme="1"/>
      <name val="Calibri"/>
    </font>
    <font>
      <sz val="11"/>
      <color theme="1"/>
      <name val="Calibri"/>
      <family val="2"/>
    </font>
    <font>
      <sz val="11"/>
      <color theme="1" tint="0.34998626667073579"/>
      <name val="Calibri"/>
      <family val="2"/>
    </font>
    <font>
      <b/>
      <sz val="16"/>
      <color theme="1" tint="0.34998626667073579"/>
      <name val="Calibri"/>
      <family val="2"/>
    </font>
    <font>
      <b/>
      <sz val="11"/>
      <color theme="1" tint="0.34998626667073579"/>
      <name val="Calibri"/>
      <family val="2"/>
    </font>
    <font>
      <b/>
      <sz val="14"/>
      <color theme="1" tint="0.34998626667073579"/>
      <name val="Calibri"/>
      <family val="2"/>
    </font>
    <font>
      <sz val="8"/>
      <color theme="1" tint="0.34998626667073579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6"/>
      <color rgb="FF002060"/>
      <name val="Calibri"/>
      <family val="2"/>
    </font>
    <font>
      <b/>
      <u/>
      <sz val="16"/>
      <color theme="1" tint="0.34998626667073579"/>
      <name val="Calibri"/>
      <family val="2"/>
    </font>
    <font>
      <sz val="16"/>
      <color theme="1" tint="0.34998626667073579"/>
      <name val="Calibri"/>
      <family val="2"/>
    </font>
    <font>
      <b/>
      <u/>
      <sz val="14"/>
      <color theme="0"/>
      <name val="Calibri"/>
      <family val="2"/>
    </font>
    <font>
      <sz val="14"/>
      <color theme="1" tint="0.34998626667073579"/>
      <name val="Calibri"/>
      <family val="2"/>
    </font>
    <font>
      <sz val="11"/>
      <color theme="0"/>
      <name val="Calibri"/>
      <family val="2"/>
    </font>
    <font>
      <b/>
      <sz val="20"/>
      <color rgb="FF002060"/>
      <name val="Calibri"/>
      <family val="2"/>
    </font>
    <font>
      <sz val="13"/>
      <color rgb="FF000000"/>
      <name val="Lucida Grande"/>
      <family val="2"/>
    </font>
    <font>
      <sz val="12"/>
      <color theme="1" tint="0.34998626667073579"/>
      <name val="Calibri"/>
      <family val="2"/>
    </font>
    <font>
      <b/>
      <sz val="14"/>
      <color rgb="FF002060"/>
      <name val="Calibri"/>
      <family val="2"/>
    </font>
    <font>
      <u/>
      <sz val="16"/>
      <color theme="1" tint="0.34998626667073579"/>
      <name val="Calibri"/>
      <family val="2"/>
    </font>
    <font>
      <sz val="12"/>
      <color theme="0"/>
      <name val="Calibri"/>
      <family val="2"/>
    </font>
    <font>
      <b/>
      <sz val="12"/>
      <color theme="1" tint="0.34998626667073579"/>
      <name val="Calibri"/>
      <family val="2"/>
    </font>
    <font>
      <sz val="11"/>
      <color theme="0" tint="-4.9989318521683403E-2"/>
      <name val="Calibri"/>
      <family val="2"/>
    </font>
    <font>
      <b/>
      <sz val="20"/>
      <color rgb="FF027277"/>
      <name val="Calibri"/>
      <family val="2"/>
    </font>
    <font>
      <b/>
      <sz val="16"/>
      <color rgb="FF027277"/>
      <name val="Calibri"/>
      <family val="2"/>
    </font>
    <font>
      <b/>
      <u/>
      <sz val="16"/>
      <color rgb="FF027277"/>
      <name val="Calibri"/>
      <family val="2"/>
    </font>
    <font>
      <b/>
      <sz val="14"/>
      <color rgb="FF595959"/>
      <name val="Calibri"/>
      <family val="2"/>
    </font>
    <font>
      <b/>
      <sz val="16"/>
      <color rgb="FF595959"/>
      <name val="Calibri"/>
      <family val="2"/>
    </font>
    <font>
      <sz val="11"/>
      <color rgb="FF595959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E9EF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theme="0" tint="-0.249977111117893"/>
      </bottom>
      <diagonal/>
    </border>
    <border>
      <left/>
      <right/>
      <top style="hair">
        <color theme="0" tint="-0.249977111117893"/>
      </top>
      <bottom style="hair">
        <color theme="0" tint="-0.249977111117893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0" borderId="0" xfId="0" applyFont="1" applyAlignment="1">
      <alignment horizontal="center" vertical="center"/>
    </xf>
    <xf numFmtId="10" fontId="2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3" fontId="2" fillId="0" borderId="0" xfId="0" applyNumberFormat="1" applyFont="1"/>
    <xf numFmtId="9" fontId="2" fillId="0" borderId="0" xfId="0" applyNumberFormat="1" applyFont="1"/>
    <xf numFmtId="0" fontId="7" fillId="0" borderId="0" xfId="0" applyFont="1"/>
    <xf numFmtId="15" fontId="7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0" fontId="8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Continuous"/>
    </xf>
    <xf numFmtId="0" fontId="2" fillId="0" borderId="2" xfId="0" applyFont="1" applyBorder="1"/>
    <xf numFmtId="0" fontId="6" fillId="0" borderId="1" xfId="0" applyFont="1" applyBorder="1"/>
    <xf numFmtId="0" fontId="10" fillId="0" borderId="2" xfId="0" applyFont="1" applyBorder="1"/>
    <xf numFmtId="0" fontId="4" fillId="0" borderId="2" xfId="0" applyFont="1" applyBorder="1"/>
    <xf numFmtId="0" fontId="5" fillId="0" borderId="2" xfId="0" applyFont="1" applyBorder="1"/>
    <xf numFmtId="9" fontId="12" fillId="0" borderId="1" xfId="2" applyFont="1" applyFill="1" applyBorder="1"/>
    <xf numFmtId="0" fontId="4" fillId="2" borderId="1" xfId="0" applyFont="1" applyFill="1" applyBorder="1"/>
    <xf numFmtId="0" fontId="2" fillId="2" borderId="1" xfId="0" applyFont="1" applyFill="1" applyBorder="1"/>
    <xf numFmtId="0" fontId="5" fillId="2" borderId="2" xfId="0" applyFont="1" applyFill="1" applyBorder="1"/>
    <xf numFmtId="10" fontId="2" fillId="2" borderId="1" xfId="0" applyNumberFormat="1" applyFont="1" applyFill="1" applyBorder="1" applyAlignment="1">
      <alignment horizontal="right" vertical="center"/>
    </xf>
    <xf numFmtId="167" fontId="2" fillId="2" borderId="1" xfId="0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4" fillId="0" borderId="2" xfId="0" applyFont="1" applyBorder="1" applyAlignment="1">
      <alignment horizontal="centerContinuous"/>
    </xf>
    <xf numFmtId="0" fontId="2" fillId="0" borderId="2" xfId="0" applyFont="1" applyBorder="1" applyAlignment="1">
      <alignment horizontal="centerContinuous"/>
    </xf>
    <xf numFmtId="0" fontId="13" fillId="0" borderId="1" xfId="0" applyFont="1" applyBorder="1"/>
    <xf numFmtId="0" fontId="9" fillId="0" borderId="2" xfId="0" applyFont="1" applyBorder="1" applyAlignment="1">
      <alignment horizontal="centerContinuous"/>
    </xf>
    <xf numFmtId="0" fontId="11" fillId="0" borderId="2" xfId="0" applyFont="1" applyBorder="1" applyAlignment="1">
      <alignment horizontal="centerContinuous"/>
    </xf>
    <xf numFmtId="0" fontId="9" fillId="0" borderId="2" xfId="0" applyFont="1" applyBorder="1"/>
    <xf numFmtId="0" fontId="2" fillId="0" borderId="2" xfId="0" applyFont="1" applyBorder="1" applyAlignment="1">
      <alignment wrapText="1"/>
    </xf>
    <xf numFmtId="0" fontId="15" fillId="0" borderId="2" xfId="0" applyFont="1" applyBorder="1" applyAlignment="1">
      <alignment horizontal="centerContinuous"/>
    </xf>
    <xf numFmtId="0" fontId="18" fillId="0" borderId="2" xfId="0" applyFont="1" applyBorder="1" applyAlignment="1">
      <alignment horizontal="centerContinuous"/>
    </xf>
    <xf numFmtId="15" fontId="17" fillId="0" borderId="2" xfId="0" applyNumberFormat="1" applyFont="1" applyBorder="1" applyAlignment="1">
      <alignment horizontal="right" vertical="center"/>
    </xf>
    <xf numFmtId="0" fontId="10" fillId="0" borderId="1" xfId="0" applyFont="1" applyBorder="1"/>
    <xf numFmtId="166" fontId="11" fillId="0" borderId="1" xfId="0" applyNumberFormat="1" applyFont="1" applyBorder="1"/>
    <xf numFmtId="166" fontId="19" fillId="0" borderId="1" xfId="0" applyNumberFormat="1" applyFont="1" applyBorder="1"/>
    <xf numFmtId="0" fontId="3" fillId="2" borderId="2" xfId="0" applyFont="1" applyFill="1" applyBorder="1"/>
    <xf numFmtId="168" fontId="3" fillId="2" borderId="2" xfId="0" applyNumberFormat="1" applyFont="1" applyFill="1" applyBorder="1" applyAlignment="1">
      <alignment horizontal="right" vertical="center"/>
    </xf>
    <xf numFmtId="0" fontId="14" fillId="0" borderId="1" xfId="0" applyFont="1" applyBorder="1"/>
    <xf numFmtId="0" fontId="2" fillId="0" borderId="1" xfId="0" applyFont="1" applyBorder="1" applyAlignment="1">
      <alignment horizontal="centerContinuous" vertical="center"/>
    </xf>
    <xf numFmtId="0" fontId="2" fillId="2" borderId="2" xfId="0" applyFont="1" applyFill="1" applyBorder="1"/>
    <xf numFmtId="0" fontId="21" fillId="2" borderId="1" xfId="0" applyFont="1" applyFill="1" applyBorder="1"/>
    <xf numFmtId="3" fontId="2" fillId="2" borderId="4" xfId="0" applyNumberFormat="1" applyFont="1" applyFill="1" applyBorder="1" applyAlignment="1">
      <alignment horizontal="center"/>
    </xf>
    <xf numFmtId="165" fontId="21" fillId="2" borderId="1" xfId="0" applyNumberFormat="1" applyFont="1" applyFill="1" applyBorder="1"/>
    <xf numFmtId="0" fontId="14" fillId="2" borderId="1" xfId="0" applyFont="1" applyFill="1" applyBorder="1"/>
    <xf numFmtId="3" fontId="22" fillId="2" borderId="3" xfId="0" applyNumberFormat="1" applyFont="1" applyFill="1" applyBorder="1" applyAlignment="1">
      <alignment horizontal="center"/>
    </xf>
    <xf numFmtId="0" fontId="22" fillId="2" borderId="2" xfId="0" applyFont="1" applyFill="1" applyBorder="1"/>
    <xf numFmtId="0" fontId="22" fillId="0" borderId="2" xfId="0" applyFont="1" applyBorder="1"/>
    <xf numFmtId="164" fontId="22" fillId="2" borderId="1" xfId="1" applyFont="1" applyFill="1" applyBorder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Continuous"/>
    </xf>
    <xf numFmtId="0" fontId="24" fillId="0" borderId="2" xfId="0" applyFont="1" applyBorder="1"/>
    <xf numFmtId="0" fontId="25" fillId="0" borderId="1" xfId="0" applyFont="1" applyBorder="1"/>
    <xf numFmtId="0" fontId="26" fillId="0" borderId="2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centerContinuous"/>
    </xf>
    <xf numFmtId="0" fontId="14" fillId="3" borderId="0" xfId="0" applyFont="1" applyFill="1" applyAlignment="1">
      <alignment horizontal="right" vertical="center"/>
    </xf>
    <xf numFmtId="15" fontId="20" fillId="3" borderId="3" xfId="0" applyNumberFormat="1" applyFont="1" applyFill="1" applyBorder="1" applyAlignment="1">
      <alignment horizontal="center" vertical="center"/>
    </xf>
    <xf numFmtId="164" fontId="11" fillId="4" borderId="2" xfId="1" applyFont="1" applyFill="1" applyBorder="1"/>
    <xf numFmtId="9" fontId="13" fillId="4" borderId="1" xfId="2" applyFont="1" applyFill="1" applyBorder="1" applyAlignment="1">
      <alignment horizontal="center" vertical="center"/>
    </xf>
  </cellXfs>
  <cellStyles count="3">
    <cellStyle name="Currency [0]" xfId="1" builtinId="7"/>
    <cellStyle name="Normal" xfId="0" builtinId="0"/>
    <cellStyle name="Per cent" xfId="2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169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numFmt numFmtId="169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8EAF0"/>
      <color rgb="FF595959"/>
      <color rgb="FFC49F8C"/>
      <color rgb="FF0272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700987694503211E-2"/>
          <c:y val="0.2798870895854999"/>
          <c:w val="0.88018952718350596"/>
          <c:h val="0.462225523696330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85000"/>
              </a:schemeClr>
            </a:solidFill>
            <a:ln w="0">
              <a:solidFill>
                <a:schemeClr val="bg1">
                  <a:lumMod val="85000"/>
                </a:schemeClr>
              </a:solidFill>
              <a:prstDash val="sysDot"/>
              <a:extLst>
                <a:ext uri="{C807C97D-BFC1-408E-A445-0C87EB9F89A2}">
                  <ask:lineSketchStyleProps xmlns:ask="http://schemas.microsoft.com/office/drawing/2018/sketchyshapes">
                    <ask:type>
                      <ask:lineSketchNone/>
                    </ask:type>
                  </ask:lineSketchStyleProps>
                </a:ext>
              </a:extLst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 w="0">
                <a:solidFill>
                  <a:schemeClr val="bg1">
                    <a:lumMod val="85000"/>
                  </a:schemeClr>
                </a:solidFill>
                <a:prstDash val="sysDot"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None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4-07D5-064D-8F3E-6B2E044007A7}"/>
              </c:ext>
            </c:extLst>
          </c:dPt>
          <c:dPt>
            <c:idx val="2"/>
            <c:invertIfNegative val="0"/>
            <c:bubble3D val="0"/>
            <c:spPr>
              <a:solidFill>
                <a:srgbClr val="F8EAF0"/>
              </a:solidFill>
              <a:ln w="0">
                <a:solidFill>
                  <a:schemeClr val="bg1">
                    <a:lumMod val="85000"/>
                  </a:schemeClr>
                </a:solidFill>
                <a:prstDash val="sysDot"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None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5-07D5-064D-8F3E-6B2E044007A7}"/>
              </c:ext>
            </c:extLst>
          </c:dPt>
          <c:cat>
            <c:strRef>
              <c:f>'Recursos invertidos'!$C$11:$C$13</c:f>
              <c:strCache>
                <c:ptCount val="3"/>
                <c:pt idx="0">
                  <c:v>Diversificación
(Entre activos)</c:v>
                </c:pt>
                <c:pt idx="1">
                  <c:v>Rentabilidad/riesgo</c:v>
                </c:pt>
                <c:pt idx="2">
                  <c:v>Oportunidad de ingreso
(Ante tasas bajas o expectativa de caida)</c:v>
                </c:pt>
              </c:strCache>
            </c:strRef>
          </c:cat>
          <c:val>
            <c:numRef>
              <c:f>'Recursos invertidos'!$D$11:$D$13</c:f>
              <c:numCache>
                <c:formatCode>General</c:formatCode>
                <c:ptCount val="3"/>
                <c:pt idx="0">
                  <c:v>3.5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D5-064D-8F3E-6B2E04400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4416719"/>
        <c:axId val="326309680"/>
      </c:barChart>
      <c:catAx>
        <c:axId val="1294416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09680"/>
        <c:crosses val="autoZero"/>
        <c:auto val="1"/>
        <c:lblAlgn val="ctr"/>
        <c:lblOffset val="100"/>
        <c:noMultiLvlLbl val="0"/>
      </c:catAx>
      <c:valAx>
        <c:axId val="326309680"/>
        <c:scaling>
          <c:orientation val="minMax"/>
          <c:max val="5"/>
        </c:scaling>
        <c:delete val="1"/>
        <c:axPos val="l"/>
        <c:numFmt formatCode="General" sourceLinked="1"/>
        <c:majorTickMark val="out"/>
        <c:minorTickMark val="none"/>
        <c:tickLblPos val="nextTo"/>
        <c:crossAx val="12944167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Unidades!$C$5</c:f>
              <c:strCache>
                <c:ptCount val="1"/>
                <c:pt idx="0">
                  <c:v>Unidad Multiplicar</c:v>
                </c:pt>
              </c:strCache>
            </c:strRef>
          </c:tx>
          <c:spPr>
            <a:ln w="22225" cap="rnd" cmpd="sng" algn="ctr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Unidades!$B$6:$B$1497</c:f>
              <c:numCache>
                <c:formatCode>d\-mmm\-yy</c:formatCode>
                <c:ptCount val="5"/>
                <c:pt idx="0">
                  <c:v>43830</c:v>
                </c:pt>
                <c:pt idx="1">
                  <c:v>44196</c:v>
                </c:pt>
                <c:pt idx="2">
                  <c:v>44561</c:v>
                </c:pt>
                <c:pt idx="3">
                  <c:v>44926</c:v>
                </c:pt>
                <c:pt idx="4">
                  <c:v>44957</c:v>
                </c:pt>
              </c:numCache>
            </c:numRef>
          </c:cat>
          <c:val>
            <c:numRef>
              <c:f>Unidades!$C$6:$C$1497</c:f>
              <c:numCache>
                <c:formatCode>#,##0</c:formatCode>
                <c:ptCount val="5"/>
                <c:pt idx="0">
                  <c:v>16292.671227256531</c:v>
                </c:pt>
                <c:pt idx="1">
                  <c:v>14074.176972039631</c:v>
                </c:pt>
                <c:pt idx="2">
                  <c:v>15042.381052080062</c:v>
                </c:pt>
                <c:pt idx="3">
                  <c:v>10845.688718477504</c:v>
                </c:pt>
                <c:pt idx="4">
                  <c:v>14735.173595850985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45-A946-9B45-056FDF800A31}"/>
            </c:ext>
          </c:extLst>
        </c:ser>
        <c:ser>
          <c:idx val="1"/>
          <c:order val="1"/>
          <c:tx>
            <c:strRef>
              <c:f>Unidades!$D$5</c:f>
              <c:strCache>
                <c:ptCount val="1"/>
                <c:pt idx="0">
                  <c:v>Unidad VPL</c:v>
                </c:pt>
              </c:strCache>
            </c:strRef>
          </c:tx>
          <c:spPr>
            <a:ln w="22225" cap="rnd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Unidades!$B$6:$B$1497</c:f>
              <c:numCache>
                <c:formatCode>d\-mmm\-yy</c:formatCode>
                <c:ptCount val="5"/>
                <c:pt idx="0">
                  <c:v>43830</c:v>
                </c:pt>
                <c:pt idx="1">
                  <c:v>44196</c:v>
                </c:pt>
                <c:pt idx="2">
                  <c:v>44561</c:v>
                </c:pt>
                <c:pt idx="3">
                  <c:v>44926</c:v>
                </c:pt>
                <c:pt idx="4">
                  <c:v>44957</c:v>
                </c:pt>
              </c:numCache>
            </c:numRef>
          </c:cat>
          <c:val>
            <c:numRef>
              <c:f>Unidades!$D$6:$D$1497</c:f>
              <c:numCache>
                <c:formatCode>#,##0</c:formatCode>
                <c:ptCount val="5"/>
                <c:pt idx="0">
                  <c:v>17465.373155339239</c:v>
                </c:pt>
                <c:pt idx="1">
                  <c:v>17678.744712601056</c:v>
                </c:pt>
                <c:pt idx="2">
                  <c:v>14767.702891208484</c:v>
                </c:pt>
                <c:pt idx="3">
                  <c:v>38774.332278991948</c:v>
                </c:pt>
                <c:pt idx="4">
                  <c:v>20656.627604557507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45-A946-9B45-056FDF800A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97620319"/>
        <c:axId val="1003396304"/>
      </c:lineChart>
      <c:dateAx>
        <c:axId val="1297620319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396304"/>
        <c:crosses val="autoZero"/>
        <c:auto val="1"/>
        <c:lblOffset val="100"/>
        <c:baseTimeUnit val="months"/>
        <c:majorUnit val="1"/>
        <c:majorTimeUnit val="years"/>
      </c:dateAx>
      <c:valAx>
        <c:axId val="100339630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2031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139700</xdr:rowOff>
    </xdr:from>
    <xdr:to>
      <xdr:col>7</xdr:col>
      <xdr:colOff>419100</xdr:colOff>
      <xdr:row>56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3400" y="139700"/>
          <a:ext cx="10363200" cy="12103100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1530350</xdr:colOff>
      <xdr:row>2</xdr:row>
      <xdr:rowOff>241300</xdr:rowOff>
    </xdr:from>
    <xdr:to>
      <xdr:col>5</xdr:col>
      <xdr:colOff>677334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1308100</xdr:colOff>
          <xdr:row>5</xdr:row>
          <xdr:rowOff>254000</xdr:rowOff>
        </xdr:from>
        <xdr:to>
          <xdr:col>6</xdr:col>
          <xdr:colOff>1778000</xdr:colOff>
          <xdr:row>8</xdr:row>
          <xdr:rowOff>152401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1320800</xdr:colOff>
          <xdr:row>5</xdr:row>
          <xdr:rowOff>254000</xdr:rowOff>
        </xdr:from>
        <xdr:to>
          <xdr:col>6</xdr:col>
          <xdr:colOff>1778000</xdr:colOff>
          <xdr:row>8</xdr:row>
          <xdr:rowOff>152401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1295400</xdr:colOff>
      <xdr:row>5</xdr:row>
      <xdr:rowOff>254000</xdr:rowOff>
    </xdr:from>
    <xdr:to>
      <xdr:col>7</xdr:col>
      <xdr:colOff>63500</xdr:colOff>
      <xdr:row>8</xdr:row>
      <xdr:rowOff>203200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670800" y="1511300"/>
          <a:ext cx="2870200" cy="812800"/>
        </a:xfrm>
        <a:prstGeom prst="roundRect">
          <a:avLst>
            <a:gd name="adj" fmla="val 4902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1358900</xdr:colOff>
          <xdr:row>7</xdr:row>
          <xdr:rowOff>12700</xdr:rowOff>
        </xdr:from>
        <xdr:to>
          <xdr:col>7</xdr:col>
          <xdr:colOff>292100</xdr:colOff>
          <xdr:row>8</xdr:row>
          <xdr:rowOff>127000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Inversión SIN Alternativos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1346200</xdr:colOff>
          <xdr:row>5</xdr:row>
          <xdr:rowOff>279400</xdr:rowOff>
        </xdr:from>
        <xdr:to>
          <xdr:col>6</xdr:col>
          <xdr:colOff>2032000</xdr:colOff>
          <xdr:row>7</xdr:row>
          <xdr:rowOff>63501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Bondades inversión alternativa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800100</xdr:colOff>
      <xdr:row>20</xdr:row>
      <xdr:rowOff>152400</xdr:rowOff>
    </xdr:from>
    <xdr:to>
      <xdr:col>4</xdr:col>
      <xdr:colOff>76200</xdr:colOff>
      <xdr:row>30</xdr:row>
      <xdr:rowOff>50800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0100" y="4902200"/>
          <a:ext cx="4775200" cy="2019300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749300</xdr:colOff>
      <xdr:row>20</xdr:row>
      <xdr:rowOff>215900</xdr:rowOff>
    </xdr:from>
    <xdr:to>
      <xdr:col>7</xdr:col>
      <xdr:colOff>101600</xdr:colOff>
      <xdr:row>30</xdr:row>
      <xdr:rowOff>88900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48400" y="4965700"/>
          <a:ext cx="4330700" cy="1993900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828322</xdr:colOff>
      <xdr:row>32</xdr:row>
      <xdr:rowOff>47977</xdr:rowOff>
    </xdr:from>
    <xdr:to>
      <xdr:col>4</xdr:col>
      <xdr:colOff>104422</xdr:colOff>
      <xdr:row>42</xdr:row>
      <xdr:rowOff>172154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8322" y="7667977"/>
          <a:ext cx="4779433" cy="2099733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797279</xdr:colOff>
      <xdr:row>32</xdr:row>
      <xdr:rowOff>73377</xdr:rowOff>
    </xdr:from>
    <xdr:to>
      <xdr:col>7</xdr:col>
      <xdr:colOff>112890</xdr:colOff>
      <xdr:row>42</xdr:row>
      <xdr:rowOff>155222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00612" y="7693377"/>
          <a:ext cx="4282722" cy="2057401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44097</xdr:colOff>
      <xdr:row>3</xdr:row>
      <xdr:rowOff>52917</xdr:rowOff>
    </xdr:from>
    <xdr:to>
      <xdr:col>1</xdr:col>
      <xdr:colOff>1137930</xdr:colOff>
      <xdr:row>5</xdr:row>
      <xdr:rowOff>254000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D73986-EB0C-B44F-9CD9-D6E1ED048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/>
        </a:blip>
        <a:stretch>
          <a:fillRect/>
        </a:stretch>
      </xdr:blipFill>
      <xdr:spPr>
        <a:xfrm>
          <a:off x="918986" y="772584"/>
          <a:ext cx="1093833" cy="1075972"/>
        </a:xfrm>
        <a:prstGeom prst="rect">
          <a:avLst/>
        </a:prstGeom>
        <a:solidFill>
          <a:schemeClr val="bg1">
            <a:lumMod val="95000"/>
          </a:schemeClr>
        </a:solidFill>
      </xdr:spPr>
    </xdr:pic>
    <xdr:clientData/>
  </xdr:twoCellAnchor>
  <xdr:twoCellAnchor>
    <xdr:from>
      <xdr:col>1</xdr:col>
      <xdr:colOff>14111</xdr:colOff>
      <xdr:row>14</xdr:row>
      <xdr:rowOff>19756</xdr:rowOff>
    </xdr:from>
    <xdr:to>
      <xdr:col>7</xdr:col>
      <xdr:colOff>98778</xdr:colOff>
      <xdr:row>16</xdr:row>
      <xdr:rowOff>84667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7AB4E094-8DA5-CC4E-B694-BB117986E965}"/>
            </a:ext>
          </a:extLst>
        </xdr:cNvPr>
        <xdr:cNvSpPr/>
      </xdr:nvSpPr>
      <xdr:spPr>
        <a:xfrm>
          <a:off x="889000" y="3279423"/>
          <a:ext cx="9680222" cy="982133"/>
        </a:xfrm>
        <a:prstGeom prst="roundRect">
          <a:avLst>
            <a:gd name="adj" fmla="val 3750"/>
          </a:avLst>
        </a:prstGeom>
        <a:noFill/>
        <a:ln>
          <a:solidFill>
            <a:schemeClr val="bg1">
              <a:lumMod val="8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203200</xdr:colOff>
      <xdr:row>3</xdr:row>
      <xdr:rowOff>95250</xdr:rowOff>
    </xdr:from>
    <xdr:to>
      <xdr:col>19</xdr:col>
      <xdr:colOff>76200</xdr:colOff>
      <xdr:row>1532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9FDD-C351-AB41-9F55-55DDB6E42BB6}" name="Table1" displayName="Table1" ref="B5:E1525" totalsRowShown="0" headerRowDxfId="9" dataDxfId="8">
  <autoFilter ref="B5:E1525" xr:uid="{5DAB9FDD-C351-AB41-9F55-55DDB6E42BB6}">
    <filterColumn colId="0">
      <filters>
        <dateGroupItem year="2023" month="1" day="31" dateTimeGrouping="day"/>
        <dateGroupItem year="2022" month="12" day="31" dateTimeGrouping="day"/>
        <dateGroupItem year="2021" month="12" day="31" dateTimeGrouping="day"/>
        <dateGroupItem year="2020" month="12" day="31" dateTimeGrouping="day"/>
        <dateGroupItem year="2019" month="12" day="31" dateTimeGrouping="day"/>
      </filters>
    </filterColumn>
  </autoFilter>
  <tableColumns count="4">
    <tableColumn id="1" xr3:uid="{CC560098-91F1-0A4F-95F2-32CDD94B65B3}" name="Fecha" dataDxfId="7"/>
    <tableColumn id="2" xr3:uid="{E5CF26A2-7446-A04B-8F8D-37CE761BBC0A}" name="Unidad Multiplicar" dataDxfId="6">
      <calculatedColumnFormula>RAND()*(18000-10000)+10000</calculatedColumnFormula>
    </tableColumn>
    <tableColumn id="4" xr3:uid="{0D5EDE43-1D30-2A4A-BC79-27C53DE1E27D}" name="Unidad VPL" dataDxfId="5"/>
    <tableColumn id="3" xr3:uid="{0D856493-5F70-984A-8C22-BC238DF7F8FC}" name="Tasa" dataDxfId="4">
      <calculatedColumnFormula>RAND()*(30%-0%)+0%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238B67-EBDD-1047-90A9-DD622624289F}" name="Table2" displayName="Table2" ref="G5:H1525" totalsRowShown="0" headerRowDxfId="3" dataDxfId="2">
  <autoFilter ref="G5:H1525" xr:uid="{3E238B67-EBDD-1047-90A9-DD622624289F}"/>
  <tableColumns count="2">
    <tableColumn id="1" xr3:uid="{155BAFA3-0FAB-A04B-ABC8-C87B825D0983}" name="Fecha" dataDxfId="1"/>
    <tableColumn id="3" xr3:uid="{6A6E947F-CD41-1D4C-A634-C2D09449A026}" name="Tasa" dataDxfId="0">
      <calculatedColumnFormula>RAND()*(40%-8%)+8%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Kpital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14"/>
  <sheetViews>
    <sheetView showGridLines="0" tabSelected="1" zoomScale="90" zoomScaleNormal="90" workbookViewId="0">
      <selection activeCell="G10" sqref="G10"/>
    </sheetView>
  </sheetViews>
  <sheetFormatPr baseColWidth="10" defaultColWidth="0" defaultRowHeight="15" customHeight="1" x14ac:dyDescent="0.2"/>
  <cols>
    <col min="1" max="1" width="11.5" style="1" customWidth="1"/>
    <col min="2" max="2" width="25.6640625" style="1" customWidth="1"/>
    <col min="3" max="3" width="21.83203125" style="1" bestFit="1" customWidth="1"/>
    <col min="4" max="4" width="13.1640625" style="1" bestFit="1" customWidth="1"/>
    <col min="5" max="5" width="11.5" style="1" customWidth="1"/>
    <col min="6" max="6" width="26" style="1" customWidth="1"/>
    <col min="7" max="7" width="27.83203125" style="1" bestFit="1" customWidth="1"/>
    <col min="8" max="9" width="10.6640625" style="1" customWidth="1"/>
    <col min="10" max="22" width="10.6640625" style="1" hidden="1"/>
    <col min="23" max="16384" width="14.5" style="1" hidden="1"/>
  </cols>
  <sheetData>
    <row r="1" spans="1:22" x14ac:dyDescent="0.2">
      <c r="A1" s="18"/>
      <c r="B1" s="20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">
      <c r="A2" s="18"/>
      <c r="C2" s="19"/>
      <c r="D2" s="19"/>
      <c r="E2" s="19"/>
      <c r="F2" s="19"/>
      <c r="G2" s="19"/>
      <c r="H2" s="19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ht="26" x14ac:dyDescent="0.3">
      <c r="A3" s="20"/>
      <c r="B3" s="61" t="s">
        <v>1</v>
      </c>
      <c r="C3" s="37"/>
      <c r="D3" s="34"/>
      <c r="E3" s="34"/>
      <c r="F3" s="34"/>
      <c r="G3" s="34"/>
      <c r="H3" s="34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ht="26" x14ac:dyDescent="0.3">
      <c r="A4" s="20"/>
      <c r="B4" s="68"/>
      <c r="C4" s="37"/>
      <c r="D4" s="34"/>
      <c r="E4" s="34"/>
      <c r="F4" s="34"/>
      <c r="G4" s="34"/>
      <c r="H4" s="3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</row>
    <row r="5" spans="1:22" ht="43" customHeight="1" x14ac:dyDescent="0.3">
      <c r="A5" s="20"/>
      <c r="B5" s="40"/>
      <c r="C5" s="37"/>
      <c r="D5" s="34"/>
      <c r="E5" s="34"/>
      <c r="F5" s="34"/>
      <c r="G5" s="42">
        <f ca="1">TODAY()</f>
        <v>45347</v>
      </c>
      <c r="H5" s="34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6" spans="1:22" ht="26" x14ac:dyDescent="0.3">
      <c r="A6" s="20"/>
      <c r="B6" s="40"/>
      <c r="C6" s="37"/>
      <c r="D6" s="34"/>
      <c r="E6" s="34"/>
      <c r="F6" s="34"/>
      <c r="G6" s="34"/>
      <c r="H6" s="34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</row>
    <row r="7" spans="1:22" ht="21" x14ac:dyDescent="0.25">
      <c r="A7" s="20"/>
      <c r="B7" s="36"/>
      <c r="C7" s="34"/>
      <c r="D7" s="24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</row>
    <row r="8" spans="1:22" ht="21" x14ac:dyDescent="0.25">
      <c r="A8" s="20"/>
      <c r="B8" s="36"/>
      <c r="C8" s="34"/>
      <c r="D8" s="24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1:22" ht="21" x14ac:dyDescent="0.25">
      <c r="A9" s="20"/>
      <c r="B9" s="36"/>
      <c r="C9" s="34"/>
      <c r="D9" s="24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</row>
    <row r="10" spans="1:22" ht="21" x14ac:dyDescent="0.25">
      <c r="A10" s="20"/>
      <c r="B10" s="36"/>
      <c r="C10" s="34"/>
      <c r="D10" s="24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</row>
    <row r="11" spans="1:22" ht="33" hidden="1" x14ac:dyDescent="0.25">
      <c r="A11" s="20"/>
      <c r="B11" s="38"/>
      <c r="C11" s="39" t="s">
        <v>28</v>
      </c>
      <c r="D11" s="20">
        <v>3.5</v>
      </c>
      <c r="E11" s="20"/>
      <c r="F11" s="20"/>
      <c r="G11" s="34"/>
      <c r="H11" s="34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</row>
    <row r="12" spans="1:22" ht="21" hidden="1" x14ac:dyDescent="0.25">
      <c r="A12" s="20"/>
      <c r="B12" s="36"/>
      <c r="C12" s="20" t="s">
        <v>18</v>
      </c>
      <c r="D12" s="34">
        <v>3</v>
      </c>
      <c r="E12" s="34"/>
      <c r="F12" s="20"/>
      <c r="G12" s="34"/>
      <c r="H12" s="34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</row>
    <row r="13" spans="1:22" ht="49" hidden="1" x14ac:dyDescent="0.25">
      <c r="A13" s="20"/>
      <c r="B13" s="36"/>
      <c r="C13" s="39" t="s">
        <v>27</v>
      </c>
      <c r="D13" s="34">
        <v>5</v>
      </c>
      <c r="E13" s="34"/>
      <c r="F13" s="39"/>
      <c r="G13" s="34"/>
      <c r="H13" s="34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</row>
    <row r="14" spans="1:22" ht="21" x14ac:dyDescent="0.25">
      <c r="A14" s="20"/>
      <c r="B14" s="36"/>
      <c r="C14" s="20"/>
      <c r="D14" s="34"/>
      <c r="E14" s="34"/>
      <c r="F14" s="20"/>
      <c r="G14" s="34"/>
      <c r="H14" s="34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</row>
    <row r="15" spans="1:22" ht="57" customHeight="1" x14ac:dyDescent="0.25">
      <c r="A15" s="18"/>
      <c r="B15" s="59" t="s">
        <v>19</v>
      </c>
      <c r="C15" s="59"/>
      <c r="D15" s="59"/>
      <c r="E15" s="35"/>
      <c r="F15" s="67" t="s">
        <v>30</v>
      </c>
      <c r="G15" s="67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2" x14ac:dyDescent="0.2">
      <c r="A16" s="20"/>
      <c r="B16" s="33"/>
      <c r="C16" s="34"/>
      <c r="D16" s="34"/>
      <c r="E16" s="20"/>
      <c r="F16" s="33"/>
      <c r="G16" s="34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</row>
    <row r="17" spans="1:22" x14ac:dyDescent="0.2">
      <c r="A17" s="20"/>
      <c r="B17" s="23"/>
      <c r="C17" s="20"/>
      <c r="D17" s="20"/>
      <c r="E17" s="20"/>
      <c r="F17" s="23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</row>
    <row r="18" spans="1:22" ht="21" x14ac:dyDescent="0.25">
      <c r="A18" s="20"/>
      <c r="B18" s="20"/>
      <c r="C18" s="20"/>
      <c r="D18" s="62" t="s">
        <v>2</v>
      </c>
      <c r="E18" s="22"/>
      <c r="F18" s="71">
        <v>100000000</v>
      </c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</row>
    <row r="19" spans="1:22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ht="21" x14ac:dyDescent="0.25">
      <c r="A20" s="20"/>
      <c r="B20" s="65" t="s">
        <v>22</v>
      </c>
      <c r="C20" s="64"/>
      <c r="D20" s="41"/>
      <c r="E20" s="41"/>
      <c r="F20" s="41"/>
      <c r="G20" s="4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</row>
    <row r="21" spans="1:22" ht="22" customHeight="1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</row>
    <row r="22" spans="1:22" ht="21" x14ac:dyDescent="0.25">
      <c r="A22" s="18"/>
      <c r="B22" s="63" t="s">
        <v>15</v>
      </c>
      <c r="C22" s="44">
        <f>F18*D22</f>
        <v>50000000</v>
      </c>
      <c r="D22" s="72">
        <v>0.5</v>
      </c>
      <c r="E22" s="18"/>
      <c r="F22" s="43" t="s">
        <v>29</v>
      </c>
      <c r="G22" s="45">
        <f>F18*H22</f>
        <v>50000000</v>
      </c>
      <c r="H22" s="25">
        <f>IF($D$22=100%,0%,100%-$D$22)</f>
        <v>0.5</v>
      </c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">
      <c r="A25" s="18"/>
      <c r="B25" s="26" t="str">
        <f>IF(F18=0,"","Tasa estimada del vehículo* EA")</f>
        <v>Tasa estimada del vehículo* EA</v>
      </c>
      <c r="C25" s="29">
        <f>IF(F18=0,"",Fuente!B4)</f>
        <v>0.1</v>
      </c>
      <c r="D25" s="27"/>
      <c r="E25" s="18"/>
      <c r="F25" s="26" t="str">
        <f>IF(G22=0,"","Estimada del vehículo* EA")</f>
        <v>Estimada del vehículo* EA</v>
      </c>
      <c r="G25" s="29">
        <f>IF(G22=0,"",Fuente!D4)</f>
        <v>0.18</v>
      </c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">
      <c r="A26" s="18"/>
      <c r="B26" s="26" t="s">
        <v>5</v>
      </c>
      <c r="C26" s="69">
        <v>360</v>
      </c>
      <c r="D26" s="2"/>
      <c r="E26" s="18"/>
      <c r="F26" s="26" t="s">
        <v>17</v>
      </c>
      <c r="G26" s="69">
        <v>360</v>
      </c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2">
      <c r="A27" s="18"/>
      <c r="B27" s="26" t="str">
        <f>IF(F18=0,"","Valor futuro")</f>
        <v>Valor futuro</v>
      </c>
      <c r="C27" s="30">
        <f>IF(F18=0,"",+FV(C25,C26/360,0,-C22))</f>
        <v>55000000.000000007</v>
      </c>
      <c r="D27" s="27"/>
      <c r="E27" s="18"/>
      <c r="F27" s="26" t="str">
        <f>IF(G22=0,"","Valor futuro")</f>
        <v>Valor futuro</v>
      </c>
      <c r="G27" s="30">
        <f>IF(G22=0,"",+FV(G25,G26/360,0,-G22))</f>
        <v>59000000</v>
      </c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spans="1:22" x14ac:dyDescent="0.2">
      <c r="A28" s="18"/>
      <c r="B28" s="27"/>
      <c r="C28" s="31"/>
      <c r="D28" s="27"/>
      <c r="E28" s="18"/>
      <c r="F28" s="27"/>
      <c r="G28" s="31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spans="1:22" ht="21" x14ac:dyDescent="0.25">
      <c r="A29" s="18"/>
      <c r="B29" s="46" t="str">
        <f>IF(F18=0,"","Beneficio")</f>
        <v>Beneficio</v>
      </c>
      <c r="C29" s="47">
        <f>IF(F18=0,"",+C27-C22)</f>
        <v>5000000.0000000075</v>
      </c>
      <c r="D29" s="28"/>
      <c r="E29" s="18"/>
      <c r="F29" s="46" t="str">
        <f>IF(G22=0,"","Beneficio")</f>
        <v>Beneficio</v>
      </c>
      <c r="G29" s="47">
        <f>IF(G22=0,"",+G27-G22)</f>
        <v>9000000</v>
      </c>
      <c r="H29" s="24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spans="1:22" x14ac:dyDescent="0.2">
      <c r="A30" s="18"/>
      <c r="B30" s="27"/>
      <c r="C30" s="32"/>
      <c r="D30" s="27"/>
      <c r="E30" s="18"/>
      <c r="F30" s="27"/>
      <c r="G30" s="27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spans="1:22" ht="23" customHeight="1" x14ac:dyDescent="0.2">
      <c r="A31" s="18"/>
      <c r="C31" s="18"/>
      <c r="D31" s="18"/>
      <c r="E31" s="18"/>
      <c r="F31" s="21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ht="27" customHeight="1" x14ac:dyDescent="0.2">
      <c r="A32" s="18"/>
      <c r="B32" s="66" t="s">
        <v>23</v>
      </c>
      <c r="C32" s="49"/>
      <c r="D32" s="49"/>
      <c r="E32" s="49"/>
      <c r="F32" s="49"/>
      <c r="G32" s="49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1:22" x14ac:dyDescent="0.2">
      <c r="A33" s="18"/>
      <c r="C33" s="18"/>
      <c r="D33" s="18"/>
      <c r="E33" s="18"/>
      <c r="F33" s="21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spans="1:22" ht="16" x14ac:dyDescent="0.2">
      <c r="A34" s="18"/>
      <c r="B34" s="26" t="s">
        <v>20</v>
      </c>
      <c r="C34" s="70">
        <v>44270</v>
      </c>
      <c r="D34" s="50"/>
      <c r="E34" s="18"/>
      <c r="F34" s="27" t="str">
        <f>IF($G$22=0,"","Fecha de inicio de inversión")</f>
        <v>Fecha de inicio de inversión</v>
      </c>
      <c r="G34" s="70">
        <v>44301</v>
      </c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spans="1:22" ht="15.75" customHeight="1" x14ac:dyDescent="0.2">
      <c r="A35" s="18"/>
      <c r="B35" s="27" t="s">
        <v>24</v>
      </c>
      <c r="C35" s="52">
        <f ca="1">_xlfn.XLOOKUP(C34,Unidades!B370:B1497,Unidades!D370:D1497)</f>
        <v>17750.236879622669</v>
      </c>
      <c r="D35" s="27"/>
      <c r="E35" s="18"/>
      <c r="F35" s="27" t="str">
        <f>IF($G$22=0,"","Unidad entrada_Alternativo")</f>
        <v>Unidad entrada_Alternativo</v>
      </c>
      <c r="G35" s="52">
        <f ca="1">IF($G$22=0,"",_xlfn.XLOOKUP(G34,Unidades!B370:B1497,Unidades!C370:C1497))</f>
        <v>11897.351587561428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spans="1:22" ht="15.75" customHeight="1" x14ac:dyDescent="0.2">
      <c r="A36" s="20"/>
      <c r="B36" s="50"/>
      <c r="C36" s="55">
        <f ca="1">C22/C35</f>
        <v>2816.863816471101</v>
      </c>
      <c r="D36" s="56"/>
      <c r="E36" s="57"/>
      <c r="F36" s="56"/>
      <c r="G36" s="55">
        <f ca="1">G22/G35</f>
        <v>4202.615988273772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</row>
    <row r="37" spans="1:22" ht="15.75" customHeight="1" x14ac:dyDescent="0.2">
      <c r="A37" s="18"/>
      <c r="B37" s="26" t="s">
        <v>21</v>
      </c>
      <c r="C37" s="70">
        <v>44655</v>
      </c>
      <c r="D37" s="27"/>
      <c r="E37" s="18"/>
      <c r="F37" s="27" t="str">
        <f>IF($G$22=0,"","Fecha de salida de inversión")</f>
        <v>Fecha de salida de inversión</v>
      </c>
      <c r="G37" s="70">
        <v>44716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spans="1:22" ht="15.75" customHeight="1" x14ac:dyDescent="0.2">
      <c r="A38" s="18"/>
      <c r="B38" s="27" t="s">
        <v>25</v>
      </c>
      <c r="C38" s="52">
        <f ca="1">_xlfn.XLOOKUP(C37,Unidades!B373:B1500,Unidades!D373:D1500)</f>
        <v>23618.482486235822</v>
      </c>
      <c r="D38" s="27"/>
      <c r="E38" s="18"/>
      <c r="F38" s="27" t="str">
        <f>IF($G$22=0,"","Unidad salida_Alternativo")</f>
        <v>Unidad salida_Alternativo</v>
      </c>
      <c r="G38" s="52">
        <f ca="1">IF(G22=0,"",_xlfn.XLOOKUP(G37,Unidades!B373:B1500,Unidades!C373:C1500))</f>
        <v>10873.999647283517</v>
      </c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spans="1:22" ht="15.75" customHeight="1" x14ac:dyDescent="0.2">
      <c r="A39" s="18"/>
      <c r="B39" s="27"/>
      <c r="C39" s="58">
        <f ca="1">C36*C38</f>
        <v>66530048.715434097</v>
      </c>
      <c r="D39" s="54"/>
      <c r="E39" s="48"/>
      <c r="F39" s="54"/>
      <c r="G39" s="58">
        <f ca="1">G36*G38</f>
        <v>45699244.77415707</v>
      </c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spans="1:22" ht="15.75" customHeight="1" x14ac:dyDescent="0.2">
      <c r="A40" s="18"/>
      <c r="B40" s="51" t="s">
        <v>26</v>
      </c>
      <c r="C40" s="53">
        <f ca="1">C39-C22</f>
        <v>16530048.715434097</v>
      </c>
      <c r="D40" s="27"/>
      <c r="E40" s="18"/>
      <c r="F40" s="51" t="str">
        <f>IF($G$22=0,"","Beneficio")</f>
        <v>Beneficio</v>
      </c>
      <c r="G40" s="53">
        <f ca="1">IF($G$22=0,"",G39-G22)</f>
        <v>-4300755.2258429304</v>
      </c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1:22" ht="15.75" customHeight="1" x14ac:dyDescent="0.2">
      <c r="A41" s="18"/>
      <c r="B41" s="27"/>
      <c r="C41" s="27"/>
      <c r="D41" s="27"/>
      <c r="E41" s="18"/>
      <c r="F41" s="27"/>
      <c r="G41" s="27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1:22" ht="15.75" customHeight="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1:22" ht="15.75" customHeight="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1:22" ht="15.75" customHeight="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1:22" ht="15.75" customHeight="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1:22" ht="15.75" customHeight="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spans="1:22" ht="15.75" customHeight="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spans="1:22" ht="15.75" customHeight="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spans="1:22" ht="15.75" customHeight="1" x14ac:dyDescent="0.2">
      <c r="A49" s="18"/>
      <c r="B49" s="21" t="s">
        <v>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1:22" ht="15.75" customHeight="1" x14ac:dyDescent="0.2">
      <c r="A50" s="18"/>
      <c r="B50" s="21" t="s">
        <v>16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1:22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spans="1:22" ht="15.75" customHeight="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1:22" ht="15.75" customHeight="1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1:22" ht="15.75" customHeight="1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1:22" ht="15.75" customHeight="1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1:22" ht="15.75" customHeight="1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1:22" ht="15.75" customHeight="1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1:22" ht="15.75" customHeight="1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1:22" ht="15.75" customHeight="1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1:22" ht="15.75" customHeight="1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1:22" ht="15.75" customHeight="1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1:22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1:22" ht="15.7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1:22" ht="15.75" customHeight="1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spans="1:22" ht="15.75" customHeight="1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spans="1:22" ht="15.75" customHeight="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spans="1:22" ht="15.75" customHeight="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spans="1:22" ht="15.75" customHeight="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spans="1:22" ht="15.7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spans="1:22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1:22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1:22" ht="15.7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1:22" ht="15.7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spans="1:22" ht="15.75" customHeight="1" x14ac:dyDescent="0.2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spans="1:22" ht="15.75" customHeight="1" x14ac:dyDescent="0.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spans="1:22" ht="15.75" customHeight="1" x14ac:dyDescent="0.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1:22" ht="15.75" customHeight="1" x14ac:dyDescent="0.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1:22" ht="15.75" customHeight="1" x14ac:dyDescent="0.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1:22" ht="15.75" customHeight="1" x14ac:dyDescent="0.2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1:22" ht="15.75" customHeight="1" x14ac:dyDescent="0.2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1:22" ht="15.75" customHeight="1" x14ac:dyDescent="0.2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1:22" ht="15.75" customHeight="1" x14ac:dyDescent="0.2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spans="1:22" ht="15.75" customHeight="1" x14ac:dyDescent="0.2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spans="1:22" ht="15.75" customHeight="1" x14ac:dyDescent="0.2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spans="1:22" ht="15.75" customHeight="1" x14ac:dyDescent="0.2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spans="1:22" ht="15.75" customHeight="1" x14ac:dyDescent="0.2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spans="1:22" ht="15.75" customHeight="1" x14ac:dyDescent="0.2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spans="1:22" ht="15.75" customHeight="1" x14ac:dyDescent="0.2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spans="1:22" ht="15.75" customHeight="1" x14ac:dyDescent="0.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2" ht="15.75" customHeight="1" x14ac:dyDescent="0.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2" ht="15.75" customHeight="1" x14ac:dyDescent="0.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2" ht="15.75" customHeight="1" x14ac:dyDescent="0.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2" ht="15.75" customHeight="1" x14ac:dyDescent="0.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1:22" ht="15.75" customHeight="1" x14ac:dyDescent="0.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1:22" ht="15.75" customHeight="1" x14ac:dyDescent="0.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1:22" ht="15.75" customHeight="1" x14ac:dyDescent="0.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spans="1:22" ht="15.75" customHeight="1" x14ac:dyDescent="0.2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spans="1:22" ht="15.75" customHeight="1" x14ac:dyDescent="0.2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spans="1:22" ht="15.75" customHeight="1" x14ac:dyDescent="0.2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spans="1:22" ht="15.75" customHeight="1" x14ac:dyDescent="0.2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spans="1:22" ht="15.75" customHeight="1" x14ac:dyDescent="0.2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spans="1:22" ht="15.75" customHeight="1" x14ac:dyDescent="0.2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1:22" ht="15.75" customHeight="1" x14ac:dyDescent="0.2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1:22" ht="15.75" customHeight="1" x14ac:dyDescent="0.2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1:22" ht="15.75" customHeight="1" x14ac:dyDescent="0.2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1:22" ht="15.75" customHeight="1" x14ac:dyDescent="0.2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1:22" ht="15.75" customHeight="1" x14ac:dyDescent="0.2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1:22" ht="15.75" customHeight="1" x14ac:dyDescent="0.2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1:22" ht="15.75" customHeight="1" x14ac:dyDescent="0.2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1:22" ht="15.75" customHeight="1" x14ac:dyDescent="0.2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1:22" ht="15.75" customHeight="1" x14ac:dyDescent="0.2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1:22" ht="15.75" customHeight="1" x14ac:dyDescent="0.2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1:22" ht="15.75" customHeight="1" x14ac:dyDescent="0.2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1:22" ht="15.75" customHeight="1" x14ac:dyDescent="0.2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1:22" ht="15.75" customHeight="1" x14ac:dyDescent="0.2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1:22" ht="15.75" customHeight="1" x14ac:dyDescent="0.2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1:22" ht="15.75" customHeight="1" x14ac:dyDescent="0.2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1:22" ht="15.75" customHeight="1" x14ac:dyDescent="0.2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1:22" ht="15.75" customHeight="1" x14ac:dyDescent="0.2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1:22" ht="15.75" customHeight="1" x14ac:dyDescent="0.2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1:22" ht="15.75" customHeight="1" x14ac:dyDescent="0.2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1:22" ht="15.75" customHeight="1" x14ac:dyDescent="0.2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1:22" ht="15.75" customHeight="1" x14ac:dyDescent="0.2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1:22" ht="15.75" customHeight="1" x14ac:dyDescent="0.2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1:22" ht="15.75" customHeight="1" x14ac:dyDescent="0.2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1:22" ht="15.75" customHeight="1" x14ac:dyDescent="0.2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1:22" ht="15.75" customHeight="1" x14ac:dyDescent="0.2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1:22" ht="15.75" customHeight="1" x14ac:dyDescent="0.2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1:22" ht="15.75" customHeight="1" x14ac:dyDescent="0.2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1:22" ht="15.75" customHeight="1" x14ac:dyDescent="0.2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1:22" ht="15.75" customHeight="1" x14ac:dyDescent="0.2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1:22" ht="15.75" customHeight="1" x14ac:dyDescent="0.2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1:22" ht="15.75" customHeight="1" x14ac:dyDescent="0.2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1:22" ht="15.75" customHeight="1" x14ac:dyDescent="0.2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1:22" ht="15.75" customHeight="1" x14ac:dyDescent="0.2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1:22" ht="15.75" customHeight="1" x14ac:dyDescent="0.2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1:22" ht="15.75" customHeight="1" x14ac:dyDescent="0.2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1:22" ht="15.75" customHeight="1" x14ac:dyDescent="0.2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1:22" ht="15.75" customHeight="1" x14ac:dyDescent="0.2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1:22" ht="15.75" customHeight="1" x14ac:dyDescent="0.2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1:22" ht="15.75" customHeight="1" x14ac:dyDescent="0.2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1:22" ht="15.75" customHeight="1" x14ac:dyDescent="0.2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1:22" ht="15.75" customHeight="1" x14ac:dyDescent="0.2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1:22" ht="15.75" customHeight="1" x14ac:dyDescent="0.2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1:22" ht="15.75" customHeight="1" x14ac:dyDescent="0.2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1:22" ht="15.75" customHeight="1" x14ac:dyDescent="0.2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1:22" ht="15.75" customHeight="1" x14ac:dyDescent="0.2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1:22" ht="15.75" customHeight="1" x14ac:dyDescent="0.2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1:22" ht="15.75" customHeight="1" x14ac:dyDescent="0.2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1:22" ht="15.75" customHeight="1" x14ac:dyDescent="0.2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1:22" ht="15.75" customHeight="1" x14ac:dyDescent="0.2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1:22" ht="15.75" customHeight="1" x14ac:dyDescent="0.2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1:22" ht="15.75" customHeight="1" x14ac:dyDescent="0.2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1:22" ht="15.75" customHeight="1" x14ac:dyDescent="0.2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1:22" ht="15.75" customHeight="1" x14ac:dyDescent="0.2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1:22" ht="15.75" customHeight="1" x14ac:dyDescent="0.2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1:22" ht="15.75" customHeight="1" x14ac:dyDescent="0.2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1:22" ht="15.75" customHeight="1" x14ac:dyDescent="0.2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1:22" ht="15.75" customHeight="1" x14ac:dyDescent="0.2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1:22" ht="15.75" customHeight="1" x14ac:dyDescent="0.2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1:22" ht="15.75" customHeight="1" x14ac:dyDescent="0.2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1:22" ht="15.75" customHeight="1" x14ac:dyDescent="0.2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1:22" ht="15.75" customHeight="1" x14ac:dyDescent="0.2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1:22" ht="15.75" customHeight="1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1:22" ht="15.75" customHeight="1" x14ac:dyDescent="0.2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1:22" ht="15.75" customHeight="1" x14ac:dyDescent="0.2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1:22" ht="15.75" customHeight="1" x14ac:dyDescent="0.2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1:22" ht="15.75" customHeight="1" x14ac:dyDescent="0.2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1:22" ht="15.75" customHeight="1" x14ac:dyDescent="0.2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1:22" ht="15.75" customHeight="1" x14ac:dyDescent="0.2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1:22" ht="15.75" customHeight="1" x14ac:dyDescent="0.2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1:22" ht="15.75" customHeight="1" x14ac:dyDescent="0.2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1:22" ht="15.75" customHeight="1" x14ac:dyDescent="0.2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1:22" ht="15.75" customHeight="1" x14ac:dyDescent="0.2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1:22" ht="15.75" customHeight="1" x14ac:dyDescent="0.2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1:22" ht="15.75" customHeight="1" x14ac:dyDescent="0.2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1:22" ht="15.75" customHeight="1" x14ac:dyDescent="0.2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1:22" ht="15.75" customHeight="1" x14ac:dyDescent="0.2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1:22" ht="15.75" customHeight="1" x14ac:dyDescent="0.2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1:22" ht="15.75" customHeight="1" x14ac:dyDescent="0.2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1:22" ht="15.75" customHeight="1" x14ac:dyDescent="0.2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1:22" ht="15.75" customHeight="1" x14ac:dyDescent="0.2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1:22" ht="15.75" customHeight="1" x14ac:dyDescent="0.2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1:22" ht="15.75" customHeight="1" x14ac:dyDescent="0.2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1:22" ht="15.75" customHeight="1" x14ac:dyDescent="0.2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1:22" ht="15.75" customHeight="1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1:22" ht="15.75" customHeight="1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1:22" ht="15.75" customHeight="1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1:22" ht="15.75" customHeight="1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1:22" ht="15.75" customHeight="1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1:22" ht="15.75" customHeight="1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1:22" ht="15.75" customHeight="1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1:22" ht="15.75" customHeight="1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1:22" ht="15.75" customHeight="1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1:22" ht="15.75" customHeight="1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1:22" ht="15.75" customHeight="1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1:22" ht="15.75" customHeight="1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1:22" ht="15.75" customHeight="1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1:22" ht="15.75" customHeight="1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1:22" ht="15.75" customHeight="1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1:22" ht="15.75" customHeight="1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1:22" ht="15.75" customHeight="1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1:22" ht="15.75" customHeight="1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1:22" ht="15.75" customHeight="1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1:22" ht="15.75" customHeight="1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1:22" ht="15.75" customHeight="1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1:22" ht="15.75" customHeight="1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1:22" ht="15.75" customHeight="1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1:22" ht="15.75" customHeight="1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1:22" ht="15.75" customHeight="1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1:22" ht="15.75" customHeight="1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1:22" ht="15.75" customHeight="1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1:22" ht="15.75" customHeight="1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1:22" ht="15.75" customHeight="1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1:22" ht="15.75" customHeight="1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1:22" ht="15.75" customHeight="1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1:22" ht="15.75" customHeight="1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1:22" ht="15.75" customHeight="1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1:22" ht="15.75" customHeight="1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1:22" ht="15.75" customHeight="1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1:22" ht="15.75" customHeight="1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1:22" ht="15.75" customHeight="1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1:22" ht="15.75" customHeight="1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1:22" ht="15.75" customHeight="1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1:22" ht="15.75" customHeight="1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1:22" ht="15.75" customHeight="1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1:22" ht="15.75" customHeight="1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1:22" ht="15.75" customHeight="1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1:22" ht="15.75" customHeight="1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1:22" ht="15.75" customHeight="1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1:22" ht="15.75" customHeight="1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1:22" ht="15.75" customHeight="1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1:22" ht="15.75" customHeight="1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1:22" ht="15.75" customHeight="1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1:22" ht="15.75" customHeight="1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1:22" ht="15.75" customHeight="1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1:22" ht="15.75" customHeight="1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1:22" ht="15.75" customHeight="1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1:22" ht="15.75" customHeight="1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1:22" ht="15.75" customHeight="1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1:22" ht="15.75" customHeight="1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1:22" ht="15.75" customHeight="1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1:22" ht="15.75" customHeight="1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1:22" ht="15.75" customHeight="1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1:22" ht="15.75" customHeight="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1:22" ht="15.75" customHeight="1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1:22" ht="15.75" customHeight="1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1:22" ht="15.75" customHeight="1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1:22" ht="15.75" customHeight="1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1:22" ht="15.75" customHeight="1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1:22" ht="15.75" customHeight="1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1:22" ht="15.75" customHeight="1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1:22" ht="15.75" customHeight="1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1:22" ht="15.75" customHeight="1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1:22" ht="15.75" customHeight="1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1:22" ht="15.75" customHeight="1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1:22" ht="15.75" customHeight="1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1:22" ht="15.75" customHeight="1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1:22" ht="15.75" customHeight="1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1:22" ht="15.75" customHeight="1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1:22" ht="15.75" customHeight="1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1:22" ht="15.75" customHeight="1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1:22" ht="15.75" customHeight="1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1:22" ht="15.75" customHeight="1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1:22" ht="15.75" customHeight="1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1:22" ht="15.75" customHeight="1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1:22" ht="15.75" customHeight="1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1:22" ht="15.75" customHeight="1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1:22" ht="15.75" customHeight="1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1:22" ht="15.75" customHeight="1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1:22" ht="15.75" customHeight="1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1:22" ht="15.75" customHeight="1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1:22" ht="15.75" customHeight="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1:22" ht="15.75" customHeight="1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1:22" ht="15.75" customHeight="1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1:22" ht="15.75" customHeight="1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1:22" ht="15.75" customHeight="1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1:22" ht="15.75" customHeight="1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1:22" ht="15.75" customHeight="1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1:22" ht="15.75" customHeight="1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1:22" ht="15.75" customHeight="1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</row>
    <row r="282" spans="1:22" ht="15.75" customHeight="1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</row>
    <row r="283" spans="1:22" ht="15.75" customHeight="1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</row>
    <row r="284" spans="1:22" ht="15.75" customHeight="1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</row>
    <row r="285" spans="1:22" ht="15.75" customHeight="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</row>
    <row r="286" spans="1:22" ht="15.75" customHeight="1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</row>
    <row r="287" spans="1:22" ht="15.75" customHeight="1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</row>
    <row r="288" spans="1:22" ht="15.75" customHeight="1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</row>
    <row r="289" spans="1:22" ht="15.75" customHeight="1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</row>
    <row r="290" spans="1:22" ht="15.75" customHeight="1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</row>
    <row r="291" spans="1:22" ht="15.75" customHeight="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</row>
    <row r="292" spans="1:22" ht="15.75" customHeight="1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</row>
    <row r="293" spans="1:22" ht="15.75" customHeight="1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</row>
    <row r="294" spans="1:22" ht="15.75" customHeight="1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</row>
    <row r="295" spans="1:22" ht="15.75" customHeight="1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</row>
    <row r="296" spans="1:22" ht="15.75" customHeight="1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</row>
    <row r="297" spans="1:22" ht="15.75" customHeight="1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</row>
    <row r="298" spans="1:22" ht="15.75" customHeight="1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</row>
    <row r="299" spans="1:22" ht="15.75" customHeight="1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</row>
    <row r="300" spans="1:22" ht="15.75" customHeight="1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</row>
    <row r="301" spans="1:22" ht="15.75" customHeight="1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</row>
    <row r="302" spans="1:22" ht="15.75" customHeight="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</row>
    <row r="303" spans="1:22" ht="15.75" customHeight="1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</row>
    <row r="304" spans="1:22" ht="15.75" customHeight="1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</row>
    <row r="305" spans="1:22" ht="15.75" customHeight="1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</row>
    <row r="306" spans="1:22" ht="15.75" customHeight="1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</row>
    <row r="307" spans="1:22" ht="15.75" customHeight="1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</row>
    <row r="308" spans="1:22" ht="15.75" customHeight="1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</row>
    <row r="309" spans="1:22" ht="15.75" customHeight="1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</row>
    <row r="310" spans="1:22" ht="15.75" customHeight="1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</row>
    <row r="311" spans="1:22" ht="15.75" customHeight="1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</row>
    <row r="312" spans="1:22" ht="15.75" customHeight="1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</row>
    <row r="313" spans="1:22" ht="15.75" customHeight="1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</row>
    <row r="314" spans="1:22" ht="15.75" customHeight="1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</row>
    <row r="315" spans="1:22" ht="15.75" customHeight="1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</row>
    <row r="316" spans="1:22" ht="15.75" customHeight="1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</row>
    <row r="317" spans="1:22" ht="15.75" customHeight="1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1:22" ht="15.75" customHeight="1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1:22" ht="15.75" customHeight="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1:22" ht="15.75" customHeight="1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1:22" ht="15.75" customHeight="1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1:22" ht="15.75" customHeight="1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1:22" ht="15.75" customHeight="1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</row>
    <row r="324" spans="1:22" ht="15.75" customHeight="1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</row>
    <row r="325" spans="1:22" ht="15.75" customHeight="1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</row>
    <row r="326" spans="1:22" ht="15.75" customHeight="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</row>
    <row r="327" spans="1:22" ht="15.75" customHeight="1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</row>
    <row r="328" spans="1:22" ht="15.75" customHeight="1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</row>
    <row r="329" spans="1:22" ht="15.75" customHeight="1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</row>
    <row r="330" spans="1:22" ht="15.75" customHeight="1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</row>
    <row r="331" spans="1:22" ht="15.75" customHeight="1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</row>
    <row r="332" spans="1:22" ht="15.75" customHeight="1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</row>
    <row r="333" spans="1:22" ht="15.75" customHeight="1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</row>
    <row r="334" spans="1:22" ht="15.75" customHeight="1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</row>
    <row r="335" spans="1:22" ht="15.75" customHeight="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</row>
    <row r="336" spans="1:22" ht="15.75" customHeight="1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</row>
    <row r="337" spans="1:22" ht="15.75" customHeight="1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</row>
    <row r="338" spans="1:22" ht="15.75" customHeight="1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</row>
    <row r="339" spans="1:22" ht="15.75" customHeight="1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</row>
    <row r="340" spans="1:22" ht="15.75" customHeight="1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</row>
    <row r="341" spans="1:22" ht="15.75" customHeight="1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</row>
    <row r="342" spans="1:22" ht="15.75" customHeight="1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</row>
    <row r="343" spans="1:22" ht="15.75" customHeight="1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</row>
    <row r="344" spans="1:22" ht="15.75" customHeight="1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</row>
    <row r="345" spans="1:22" ht="15.75" customHeight="1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</row>
    <row r="346" spans="1:22" ht="15.75" customHeight="1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</row>
    <row r="347" spans="1:22" ht="15.75" customHeight="1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</row>
    <row r="348" spans="1:22" ht="15.75" customHeight="1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</row>
    <row r="349" spans="1:22" ht="15.75" customHeight="1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</row>
    <row r="350" spans="1:22" ht="15.75" customHeight="1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</row>
    <row r="351" spans="1:22" ht="15.75" customHeight="1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</row>
    <row r="352" spans="1:22" ht="15.75" customHeight="1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</row>
    <row r="353" spans="1:22" ht="15.75" customHeight="1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</row>
    <row r="354" spans="1:22" ht="15.75" customHeight="1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</row>
    <row r="355" spans="1:22" ht="15.75" customHeight="1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</row>
    <row r="356" spans="1:22" ht="15.75" customHeight="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</row>
    <row r="357" spans="1:22" ht="15.75" customHeight="1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</row>
    <row r="358" spans="1:22" ht="15.75" customHeight="1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</row>
    <row r="359" spans="1:22" ht="15.75" customHeight="1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</row>
    <row r="360" spans="1:22" ht="15.75" customHeight="1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</row>
    <row r="361" spans="1:22" ht="15.75" customHeight="1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</row>
    <row r="362" spans="1:22" ht="15.75" customHeight="1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1:22" ht="15.75" customHeight="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1:22" ht="15.75" customHeight="1" x14ac:dyDescent="0.2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1:22" ht="15.75" customHeight="1" x14ac:dyDescent="0.2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1:22" ht="15.75" customHeight="1" x14ac:dyDescent="0.2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1:22" ht="15.75" customHeight="1" x14ac:dyDescent="0.2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1:22" ht="15.75" customHeight="1" x14ac:dyDescent="0.2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</row>
    <row r="369" spans="1:22" ht="15.75" customHeight="1" x14ac:dyDescent="0.2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</row>
    <row r="370" spans="1:22" ht="15.75" customHeight="1" x14ac:dyDescent="0.2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</row>
    <row r="371" spans="1:22" ht="15.75" customHeight="1" x14ac:dyDescent="0.2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</row>
    <row r="372" spans="1:22" ht="15.75" customHeight="1" x14ac:dyDescent="0.2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</row>
    <row r="373" spans="1:22" ht="15.75" customHeight="1" x14ac:dyDescent="0.2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</row>
    <row r="374" spans="1:22" ht="15.75" customHeight="1" x14ac:dyDescent="0.2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1:22" ht="15.75" customHeight="1" x14ac:dyDescent="0.2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1:22" ht="15.75" customHeight="1" x14ac:dyDescent="0.2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1:22" ht="15.75" customHeight="1" x14ac:dyDescent="0.2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1:22" ht="15.75" customHeight="1" x14ac:dyDescent="0.2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1:22" ht="15.75" customHeight="1" x14ac:dyDescent="0.2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1:22" ht="15.75" customHeight="1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</row>
    <row r="381" spans="1:22" ht="15.75" customHeight="1" x14ac:dyDescent="0.2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</row>
    <row r="382" spans="1:22" ht="15.75" customHeight="1" x14ac:dyDescent="0.2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</row>
    <row r="383" spans="1:22" ht="15.75" customHeight="1" x14ac:dyDescent="0.2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</row>
    <row r="384" spans="1:22" ht="15.75" customHeight="1" x14ac:dyDescent="0.2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</row>
    <row r="385" spans="1:22" ht="15.75" customHeight="1" x14ac:dyDescent="0.2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</row>
    <row r="386" spans="1:22" ht="15.75" customHeight="1" x14ac:dyDescent="0.2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</row>
    <row r="387" spans="1:22" ht="15.75" customHeight="1" x14ac:dyDescent="0.2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</row>
    <row r="388" spans="1:22" ht="15.75" customHeight="1" x14ac:dyDescent="0.2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</row>
    <row r="389" spans="1:22" ht="15.75" customHeight="1" x14ac:dyDescent="0.2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</row>
    <row r="390" spans="1:22" ht="15.75" customHeight="1" x14ac:dyDescent="0.2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</row>
    <row r="391" spans="1:22" ht="15.75" customHeight="1" x14ac:dyDescent="0.2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</row>
    <row r="392" spans="1:22" ht="15.75" customHeight="1" x14ac:dyDescent="0.2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</row>
    <row r="393" spans="1:22" ht="15.75" customHeight="1" x14ac:dyDescent="0.2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</row>
    <row r="394" spans="1:22" ht="15.75" customHeight="1" x14ac:dyDescent="0.2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</row>
    <row r="395" spans="1:22" ht="15.75" customHeight="1" x14ac:dyDescent="0.2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</row>
    <row r="396" spans="1:22" ht="15.75" customHeight="1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</row>
    <row r="397" spans="1:22" ht="15.75" customHeight="1" x14ac:dyDescent="0.2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</row>
    <row r="398" spans="1:22" ht="15.75" customHeight="1" x14ac:dyDescent="0.2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</row>
    <row r="399" spans="1:22" ht="15.75" customHeight="1" x14ac:dyDescent="0.2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</row>
    <row r="400" spans="1:22" ht="15.75" customHeight="1" x14ac:dyDescent="0.2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</row>
    <row r="401" spans="1:22" ht="15.75" customHeight="1" x14ac:dyDescent="0.2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</row>
    <row r="402" spans="1:22" ht="15.75" customHeight="1" x14ac:dyDescent="0.2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</row>
    <row r="403" spans="1:22" ht="15.75" customHeight="1" x14ac:dyDescent="0.2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</row>
    <row r="404" spans="1:22" ht="15.75" customHeight="1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</row>
    <row r="405" spans="1:22" ht="15.75" customHeight="1" x14ac:dyDescent="0.2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</row>
    <row r="406" spans="1:22" ht="15.75" customHeight="1" x14ac:dyDescent="0.2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</row>
    <row r="407" spans="1:22" ht="15.75" customHeight="1" x14ac:dyDescent="0.2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</row>
    <row r="408" spans="1:22" ht="15.75" customHeight="1" x14ac:dyDescent="0.2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</row>
    <row r="409" spans="1:22" ht="15.75" customHeight="1" x14ac:dyDescent="0.2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</row>
    <row r="410" spans="1:22" ht="15.75" customHeight="1" x14ac:dyDescent="0.2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</row>
    <row r="411" spans="1:22" ht="15.75" customHeight="1" x14ac:dyDescent="0.2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</row>
    <row r="412" spans="1:22" ht="15.75" customHeight="1" x14ac:dyDescent="0.2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</row>
    <row r="413" spans="1:22" ht="15.75" customHeight="1" x14ac:dyDescent="0.2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</row>
    <row r="414" spans="1:22" ht="15.75" customHeight="1" x14ac:dyDescent="0.2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</row>
    <row r="415" spans="1:22" ht="15.75" customHeight="1" x14ac:dyDescent="0.2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</row>
    <row r="416" spans="1:22" ht="15.75" customHeight="1" x14ac:dyDescent="0.2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</row>
    <row r="417" spans="1:22" ht="15.75" customHeight="1" x14ac:dyDescent="0.2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</row>
    <row r="418" spans="1:22" ht="15.75" customHeight="1" x14ac:dyDescent="0.2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</row>
    <row r="419" spans="1:22" ht="15.75" customHeight="1" x14ac:dyDescent="0.2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</row>
    <row r="420" spans="1:22" ht="15.75" customHeight="1" x14ac:dyDescent="0.2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</row>
    <row r="421" spans="1:22" ht="15.75" customHeight="1" x14ac:dyDescent="0.2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</row>
    <row r="422" spans="1:22" ht="15.75" customHeight="1" x14ac:dyDescent="0.2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</row>
    <row r="423" spans="1:22" ht="15.75" customHeight="1" x14ac:dyDescent="0.2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</row>
    <row r="424" spans="1:22" ht="15.75" customHeight="1" x14ac:dyDescent="0.2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</row>
    <row r="425" spans="1:22" ht="15.75" customHeight="1" x14ac:dyDescent="0.2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</row>
    <row r="426" spans="1:22" ht="15.75" customHeight="1" x14ac:dyDescent="0.2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</row>
    <row r="427" spans="1:22" ht="15.75" customHeight="1" x14ac:dyDescent="0.2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</row>
    <row r="428" spans="1:22" ht="15.75" customHeight="1" x14ac:dyDescent="0.2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</row>
    <row r="429" spans="1:22" ht="15.75" customHeight="1" x14ac:dyDescent="0.2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</row>
    <row r="430" spans="1:22" ht="15.75" customHeight="1" x14ac:dyDescent="0.2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</row>
    <row r="431" spans="1:22" ht="15.75" customHeight="1" x14ac:dyDescent="0.2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</row>
    <row r="432" spans="1:22" ht="15.75" customHeight="1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</row>
    <row r="433" spans="1:22" ht="15.75" customHeight="1" x14ac:dyDescent="0.2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</row>
    <row r="434" spans="1:22" ht="15.75" customHeight="1" x14ac:dyDescent="0.2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</row>
    <row r="435" spans="1:22" ht="15.75" customHeight="1" x14ac:dyDescent="0.2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</row>
    <row r="436" spans="1:22" ht="15.75" customHeight="1" x14ac:dyDescent="0.2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</row>
    <row r="437" spans="1:22" ht="15.75" customHeight="1" x14ac:dyDescent="0.2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</row>
    <row r="438" spans="1:22" ht="15.75" customHeight="1" x14ac:dyDescent="0.2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</row>
    <row r="439" spans="1:22" ht="15.75" customHeight="1" x14ac:dyDescent="0.2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</row>
    <row r="440" spans="1:22" ht="15.75" customHeight="1" x14ac:dyDescent="0.2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</row>
    <row r="441" spans="1:22" ht="15.75" customHeight="1" x14ac:dyDescent="0.2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</row>
    <row r="442" spans="1:22" ht="15.75" customHeight="1" x14ac:dyDescent="0.2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</row>
    <row r="443" spans="1:22" ht="15.75" customHeight="1" x14ac:dyDescent="0.2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</row>
    <row r="444" spans="1:22" ht="15.75" customHeight="1" x14ac:dyDescent="0.2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</row>
    <row r="445" spans="1:22" ht="15.75" customHeight="1" x14ac:dyDescent="0.2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</row>
    <row r="446" spans="1:22" ht="15.75" customHeight="1" x14ac:dyDescent="0.2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</row>
    <row r="447" spans="1:22" ht="15.75" customHeight="1" x14ac:dyDescent="0.2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</row>
    <row r="448" spans="1:22" ht="15.75" customHeight="1" x14ac:dyDescent="0.2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</row>
    <row r="449" spans="1:22" ht="15.75" customHeight="1" x14ac:dyDescent="0.2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</row>
    <row r="450" spans="1:22" ht="15.75" customHeight="1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</row>
    <row r="451" spans="1:22" ht="15.75" customHeight="1" x14ac:dyDescent="0.2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</row>
    <row r="452" spans="1:22" ht="15.75" customHeight="1" x14ac:dyDescent="0.2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</row>
    <row r="453" spans="1:22" ht="15.75" customHeight="1" x14ac:dyDescent="0.2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</row>
    <row r="454" spans="1:22" ht="15.75" customHeight="1" x14ac:dyDescent="0.2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</row>
    <row r="455" spans="1:22" ht="15.75" customHeight="1" x14ac:dyDescent="0.2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</row>
    <row r="456" spans="1:22" ht="15.75" customHeight="1" x14ac:dyDescent="0.2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</row>
    <row r="457" spans="1:22" ht="15.75" customHeight="1" x14ac:dyDescent="0.2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</row>
    <row r="458" spans="1:22" ht="15.75" customHeight="1" x14ac:dyDescent="0.2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</row>
    <row r="459" spans="1:22" ht="15.75" customHeight="1" x14ac:dyDescent="0.2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</row>
    <row r="460" spans="1:22" ht="15.75" customHeight="1" x14ac:dyDescent="0.2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</row>
    <row r="461" spans="1:22" ht="15.75" customHeight="1" x14ac:dyDescent="0.2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</row>
    <row r="462" spans="1:22" ht="15.75" customHeight="1" x14ac:dyDescent="0.2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</row>
    <row r="463" spans="1:22" ht="15.75" customHeight="1" x14ac:dyDescent="0.2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</row>
    <row r="464" spans="1:22" ht="15.75" customHeight="1" x14ac:dyDescent="0.2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</row>
    <row r="465" spans="1:22" ht="15.75" customHeight="1" x14ac:dyDescent="0.2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</row>
    <row r="466" spans="1:22" ht="15.75" customHeight="1" x14ac:dyDescent="0.2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</row>
    <row r="467" spans="1:22" ht="15.75" customHeight="1" x14ac:dyDescent="0.2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</row>
    <row r="468" spans="1:22" ht="15.75" customHeight="1" x14ac:dyDescent="0.2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</row>
    <row r="469" spans="1:22" ht="15.75" customHeight="1" x14ac:dyDescent="0.2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</row>
    <row r="470" spans="1:22" ht="15.75" customHeight="1" x14ac:dyDescent="0.2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</row>
    <row r="471" spans="1:22" ht="15.75" customHeight="1" x14ac:dyDescent="0.2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</row>
    <row r="472" spans="1:22" ht="15.75" customHeight="1" x14ac:dyDescent="0.2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</row>
    <row r="473" spans="1:22" ht="15.75" customHeight="1" x14ac:dyDescent="0.2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</row>
    <row r="474" spans="1:22" ht="15.75" customHeight="1" x14ac:dyDescent="0.2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</row>
    <row r="475" spans="1:22" ht="15.75" customHeight="1" x14ac:dyDescent="0.2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</row>
    <row r="476" spans="1:22" ht="15.75" customHeight="1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</row>
    <row r="477" spans="1:22" ht="15.75" customHeight="1" x14ac:dyDescent="0.2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</row>
    <row r="478" spans="1:22" ht="15.75" customHeight="1" x14ac:dyDescent="0.2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</row>
    <row r="479" spans="1:22" ht="15.75" customHeight="1" x14ac:dyDescent="0.2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</row>
    <row r="480" spans="1:22" ht="15.75" customHeight="1" x14ac:dyDescent="0.2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</row>
    <row r="481" spans="1:22" ht="15.75" customHeight="1" x14ac:dyDescent="0.2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</row>
    <row r="482" spans="1:22" ht="15.75" customHeight="1" x14ac:dyDescent="0.2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</row>
    <row r="483" spans="1:22" ht="15.75" customHeight="1" x14ac:dyDescent="0.2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</row>
    <row r="484" spans="1:22" ht="15.75" customHeight="1" x14ac:dyDescent="0.2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</row>
    <row r="485" spans="1:22" ht="15.75" customHeight="1" x14ac:dyDescent="0.2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</row>
    <row r="486" spans="1:22" ht="15.75" customHeight="1" x14ac:dyDescent="0.2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</row>
    <row r="487" spans="1:22" ht="15.75" customHeight="1" x14ac:dyDescent="0.2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</row>
    <row r="488" spans="1:22" ht="15.75" customHeight="1" x14ac:dyDescent="0.2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</row>
    <row r="489" spans="1:22" ht="15.75" customHeight="1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</row>
    <row r="490" spans="1:22" ht="15.75" customHeight="1" x14ac:dyDescent="0.2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</row>
    <row r="491" spans="1:22" ht="15.75" customHeight="1" x14ac:dyDescent="0.2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</row>
    <row r="492" spans="1:22" ht="15.75" customHeight="1" x14ac:dyDescent="0.2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</row>
    <row r="493" spans="1:22" ht="15.75" customHeight="1" x14ac:dyDescent="0.2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</row>
    <row r="494" spans="1:22" ht="15.75" customHeight="1" x14ac:dyDescent="0.2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</row>
    <row r="495" spans="1:22" ht="15.75" customHeight="1" x14ac:dyDescent="0.2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</row>
    <row r="496" spans="1:22" ht="15.75" customHeight="1" x14ac:dyDescent="0.2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</row>
    <row r="497" spans="1:22" ht="15.75" customHeight="1" x14ac:dyDescent="0.2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</row>
    <row r="498" spans="1:22" ht="15.75" customHeight="1" x14ac:dyDescent="0.2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</row>
    <row r="499" spans="1:22" ht="15.75" customHeight="1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</row>
    <row r="500" spans="1:22" ht="15.75" customHeight="1" x14ac:dyDescent="0.2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</row>
    <row r="501" spans="1:22" ht="15.75" customHeight="1" x14ac:dyDescent="0.2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</row>
    <row r="502" spans="1:22" ht="15.75" customHeight="1" x14ac:dyDescent="0.2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</row>
    <row r="503" spans="1:22" ht="15.75" customHeight="1" x14ac:dyDescent="0.2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</row>
    <row r="504" spans="1:22" ht="15.75" customHeight="1" x14ac:dyDescent="0.2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</row>
    <row r="505" spans="1:22" ht="15.75" customHeight="1" x14ac:dyDescent="0.2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</row>
    <row r="506" spans="1:22" ht="15.75" customHeight="1" x14ac:dyDescent="0.2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</row>
    <row r="507" spans="1:22" ht="15.75" customHeight="1" x14ac:dyDescent="0.2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</row>
    <row r="508" spans="1:22" ht="15.75" customHeight="1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</row>
    <row r="509" spans="1:22" ht="15.75" customHeight="1" x14ac:dyDescent="0.2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</row>
    <row r="510" spans="1:22" ht="15.75" customHeight="1" x14ac:dyDescent="0.2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</row>
    <row r="511" spans="1:22" ht="15.75" customHeight="1" x14ac:dyDescent="0.2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</row>
    <row r="512" spans="1:22" ht="15.75" customHeight="1" x14ac:dyDescent="0.2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</row>
    <row r="513" spans="1:22" ht="15.75" customHeight="1" x14ac:dyDescent="0.2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</row>
    <row r="514" spans="1:22" ht="15.75" customHeight="1" x14ac:dyDescent="0.2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</row>
    <row r="515" spans="1:22" ht="15.75" customHeight="1" x14ac:dyDescent="0.2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</row>
    <row r="516" spans="1:22" ht="15.75" customHeight="1" x14ac:dyDescent="0.2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</row>
    <row r="517" spans="1:22" ht="15.75" customHeight="1" x14ac:dyDescent="0.2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</row>
    <row r="518" spans="1:22" ht="15.75" customHeight="1" x14ac:dyDescent="0.2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</row>
    <row r="519" spans="1:22" ht="15.75" customHeight="1" x14ac:dyDescent="0.2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</row>
    <row r="520" spans="1:22" ht="15.75" customHeight="1" x14ac:dyDescent="0.2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</row>
    <row r="521" spans="1:22" ht="15.75" customHeight="1" x14ac:dyDescent="0.2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</row>
    <row r="522" spans="1:22" ht="15.75" customHeight="1" x14ac:dyDescent="0.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</row>
    <row r="523" spans="1:22" ht="15.75" customHeight="1" x14ac:dyDescent="0.2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</row>
    <row r="524" spans="1:22" ht="15.75" customHeight="1" x14ac:dyDescent="0.2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</row>
    <row r="525" spans="1:22" ht="15.75" customHeight="1" x14ac:dyDescent="0.2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</row>
    <row r="526" spans="1:22" ht="15.75" customHeight="1" x14ac:dyDescent="0.2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</row>
    <row r="527" spans="1:22" ht="15.75" customHeight="1" x14ac:dyDescent="0.2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</row>
    <row r="528" spans="1:22" ht="15.75" customHeight="1" x14ac:dyDescent="0.2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</row>
    <row r="529" spans="1:22" ht="15.75" customHeight="1" x14ac:dyDescent="0.2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</row>
    <row r="530" spans="1:22" ht="15.75" customHeight="1" x14ac:dyDescent="0.2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</row>
    <row r="531" spans="1:22" ht="15.75" customHeight="1" x14ac:dyDescent="0.2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</row>
    <row r="532" spans="1:22" ht="15.75" customHeight="1" x14ac:dyDescent="0.2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</row>
    <row r="533" spans="1:22" ht="15.75" customHeight="1" x14ac:dyDescent="0.2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</row>
    <row r="534" spans="1:22" ht="15.75" customHeight="1" x14ac:dyDescent="0.2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</row>
    <row r="535" spans="1:22" ht="15.75" customHeight="1" x14ac:dyDescent="0.2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</row>
    <row r="536" spans="1:22" ht="15.75" customHeight="1" x14ac:dyDescent="0.2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</row>
    <row r="537" spans="1:22" ht="15.75" customHeight="1" x14ac:dyDescent="0.2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</row>
    <row r="538" spans="1:22" ht="15.75" customHeight="1" x14ac:dyDescent="0.2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</row>
    <row r="539" spans="1:22" ht="15.75" customHeight="1" x14ac:dyDescent="0.2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</row>
    <row r="540" spans="1:22" ht="15.75" customHeight="1" x14ac:dyDescent="0.2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</row>
    <row r="541" spans="1:22" ht="15.75" customHeight="1" x14ac:dyDescent="0.2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</row>
    <row r="542" spans="1:22" ht="15.75" customHeight="1" x14ac:dyDescent="0.2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</row>
    <row r="543" spans="1:22" ht="15.75" customHeight="1" x14ac:dyDescent="0.2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</row>
    <row r="544" spans="1:22" ht="15.75" customHeight="1" x14ac:dyDescent="0.2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</row>
    <row r="545" spans="1:22" ht="15.75" customHeight="1" x14ac:dyDescent="0.2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</row>
    <row r="546" spans="1:22" ht="15.75" customHeight="1" x14ac:dyDescent="0.2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</row>
    <row r="547" spans="1:22" ht="15.75" customHeight="1" x14ac:dyDescent="0.2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</row>
    <row r="548" spans="1:22" ht="15.75" customHeight="1" x14ac:dyDescent="0.2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</row>
    <row r="549" spans="1:22" ht="15.75" customHeight="1" x14ac:dyDescent="0.2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</row>
    <row r="550" spans="1:22" ht="15.75" customHeight="1" x14ac:dyDescent="0.2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</row>
    <row r="551" spans="1:22" ht="15.75" customHeight="1" x14ac:dyDescent="0.2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</row>
    <row r="552" spans="1:22" ht="15.75" customHeight="1" x14ac:dyDescent="0.2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</row>
    <row r="553" spans="1:22" ht="15.75" customHeight="1" x14ac:dyDescent="0.2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</row>
    <row r="554" spans="1:22" ht="15.75" customHeight="1" x14ac:dyDescent="0.2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</row>
    <row r="555" spans="1:22" ht="15.75" customHeight="1" x14ac:dyDescent="0.2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</row>
    <row r="556" spans="1:22" ht="15.75" customHeight="1" x14ac:dyDescent="0.2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</row>
    <row r="557" spans="1:22" ht="15.75" customHeight="1" x14ac:dyDescent="0.2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</row>
    <row r="558" spans="1:22" ht="15.75" customHeight="1" x14ac:dyDescent="0.2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</row>
    <row r="559" spans="1:22" ht="15.75" customHeight="1" x14ac:dyDescent="0.2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</row>
    <row r="560" spans="1:22" ht="15.75" customHeight="1" x14ac:dyDescent="0.2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</row>
    <row r="561" spans="1:22" ht="15.75" customHeight="1" x14ac:dyDescent="0.2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</row>
    <row r="562" spans="1:22" ht="15.75" customHeight="1" x14ac:dyDescent="0.2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</row>
    <row r="563" spans="1:22" ht="15.75" customHeight="1" x14ac:dyDescent="0.2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</row>
    <row r="564" spans="1:22" ht="15.75" customHeight="1" x14ac:dyDescent="0.2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</row>
    <row r="565" spans="1:22" ht="15.75" customHeight="1" x14ac:dyDescent="0.2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</row>
    <row r="566" spans="1:22" ht="15.75" customHeight="1" x14ac:dyDescent="0.2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</row>
    <row r="567" spans="1:22" ht="15.75" customHeight="1" x14ac:dyDescent="0.2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</row>
    <row r="568" spans="1:22" ht="15.75" customHeight="1" x14ac:dyDescent="0.2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</row>
    <row r="569" spans="1:22" ht="15.75" customHeight="1" x14ac:dyDescent="0.2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</row>
    <row r="570" spans="1:22" ht="15.75" customHeight="1" x14ac:dyDescent="0.2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</row>
    <row r="571" spans="1:22" ht="15.75" customHeight="1" x14ac:dyDescent="0.2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</row>
    <row r="572" spans="1:22" ht="15.75" customHeight="1" x14ac:dyDescent="0.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</row>
    <row r="573" spans="1:22" ht="15.75" customHeight="1" x14ac:dyDescent="0.2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</row>
    <row r="574" spans="1:22" ht="15.75" customHeight="1" x14ac:dyDescent="0.2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</row>
    <row r="575" spans="1:22" ht="15.75" customHeight="1" x14ac:dyDescent="0.2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</row>
    <row r="576" spans="1:22" ht="15.75" customHeight="1" x14ac:dyDescent="0.2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</row>
    <row r="577" spans="1:22" ht="15.75" customHeight="1" x14ac:dyDescent="0.2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</row>
    <row r="578" spans="1:22" ht="15.75" customHeight="1" x14ac:dyDescent="0.2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</row>
    <row r="579" spans="1:22" ht="15.75" customHeight="1" x14ac:dyDescent="0.2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</row>
    <row r="580" spans="1:22" ht="15.75" customHeight="1" x14ac:dyDescent="0.2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</row>
    <row r="581" spans="1:22" ht="15.75" customHeight="1" x14ac:dyDescent="0.2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</row>
    <row r="582" spans="1:22" ht="15.75" customHeight="1" x14ac:dyDescent="0.2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</row>
    <row r="583" spans="1:22" ht="15.75" customHeight="1" x14ac:dyDescent="0.2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</row>
    <row r="584" spans="1:22" ht="15.75" customHeight="1" x14ac:dyDescent="0.2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</row>
    <row r="585" spans="1:22" ht="15.75" customHeight="1" x14ac:dyDescent="0.2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</row>
    <row r="586" spans="1:22" ht="15.75" customHeight="1" x14ac:dyDescent="0.2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</row>
    <row r="587" spans="1:22" ht="15.75" customHeight="1" x14ac:dyDescent="0.2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</row>
    <row r="588" spans="1:22" ht="15.75" customHeight="1" x14ac:dyDescent="0.2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</row>
    <row r="589" spans="1:22" ht="15.75" customHeight="1" x14ac:dyDescent="0.2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</row>
    <row r="590" spans="1:22" ht="15.75" customHeight="1" x14ac:dyDescent="0.2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</row>
    <row r="591" spans="1:22" ht="15.75" customHeight="1" x14ac:dyDescent="0.2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</row>
    <row r="592" spans="1:22" ht="15.75" customHeight="1" x14ac:dyDescent="0.2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</row>
    <row r="593" spans="1:22" ht="15.75" customHeight="1" x14ac:dyDescent="0.2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</row>
    <row r="594" spans="1:22" ht="15.75" customHeight="1" x14ac:dyDescent="0.2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</row>
    <row r="595" spans="1:22" ht="15.75" customHeight="1" x14ac:dyDescent="0.2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</row>
    <row r="596" spans="1:22" ht="15.75" customHeight="1" x14ac:dyDescent="0.2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</row>
    <row r="597" spans="1:22" ht="15.75" customHeight="1" x14ac:dyDescent="0.2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</row>
    <row r="598" spans="1:22" ht="15.75" customHeight="1" x14ac:dyDescent="0.2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1:22" ht="15.75" customHeight="1" x14ac:dyDescent="0.2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1:22" ht="15.75" customHeight="1" x14ac:dyDescent="0.2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1:22" ht="15.75" customHeight="1" x14ac:dyDescent="0.2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1:22" ht="15.75" customHeight="1" x14ac:dyDescent="0.2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1:22" ht="15.75" customHeight="1" x14ac:dyDescent="0.2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1:22" ht="15.75" customHeight="1" x14ac:dyDescent="0.2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</row>
    <row r="605" spans="1:22" ht="15.75" customHeight="1" x14ac:dyDescent="0.2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</row>
    <row r="606" spans="1:22" ht="15.75" customHeight="1" x14ac:dyDescent="0.2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</row>
    <row r="607" spans="1:22" ht="15.75" customHeight="1" x14ac:dyDescent="0.2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</row>
    <row r="608" spans="1:22" ht="15.75" customHeight="1" x14ac:dyDescent="0.2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</row>
    <row r="609" spans="1:22" ht="15.75" customHeight="1" x14ac:dyDescent="0.2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</row>
    <row r="610" spans="1:22" ht="15.75" customHeight="1" x14ac:dyDescent="0.2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</row>
    <row r="611" spans="1:22" ht="15.75" customHeight="1" x14ac:dyDescent="0.2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</row>
    <row r="612" spans="1:22" ht="15.75" customHeight="1" x14ac:dyDescent="0.2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</row>
    <row r="613" spans="1:22" ht="15.75" customHeight="1" x14ac:dyDescent="0.2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</row>
    <row r="614" spans="1:22" ht="15.75" customHeight="1" x14ac:dyDescent="0.2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</row>
    <row r="615" spans="1:22" ht="15.75" customHeight="1" x14ac:dyDescent="0.2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</row>
    <row r="616" spans="1:22" ht="15.75" customHeight="1" x14ac:dyDescent="0.2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</row>
    <row r="617" spans="1:22" ht="15.75" customHeight="1" x14ac:dyDescent="0.2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</row>
    <row r="618" spans="1:22" ht="15.75" customHeight="1" x14ac:dyDescent="0.2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1:22" ht="15.75" customHeight="1" x14ac:dyDescent="0.2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1:22" ht="15.75" customHeight="1" x14ac:dyDescent="0.2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1:22" ht="15.75" customHeight="1" x14ac:dyDescent="0.2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1:22" ht="15.75" customHeight="1" x14ac:dyDescent="0.2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1:22" ht="15.75" customHeight="1" x14ac:dyDescent="0.2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1:22" ht="15.75" customHeight="1" x14ac:dyDescent="0.2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1:22" ht="15.75" customHeight="1" x14ac:dyDescent="0.2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1:22" ht="15.75" customHeight="1" x14ac:dyDescent="0.2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1:22" ht="15.75" customHeight="1" x14ac:dyDescent="0.2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1:22" ht="15.75" customHeight="1" x14ac:dyDescent="0.2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1:22" ht="15.75" customHeight="1" x14ac:dyDescent="0.2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1:22" ht="15.75" customHeight="1" x14ac:dyDescent="0.2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1:22" ht="15.75" customHeight="1" x14ac:dyDescent="0.2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1:22" ht="15.75" customHeight="1" x14ac:dyDescent="0.2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1:22" ht="15.75" customHeight="1" x14ac:dyDescent="0.2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1:22" ht="15.75" customHeight="1" x14ac:dyDescent="0.2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1:22" ht="15.75" customHeight="1" x14ac:dyDescent="0.2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1:22" ht="15.75" customHeight="1" x14ac:dyDescent="0.2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1:22" ht="15.75" customHeight="1" x14ac:dyDescent="0.2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1:22" ht="15.75" customHeight="1" x14ac:dyDescent="0.2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1:22" ht="15.75" customHeight="1" x14ac:dyDescent="0.2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1:22" ht="15.75" customHeight="1" x14ac:dyDescent="0.2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1:22" ht="15.75" customHeight="1" x14ac:dyDescent="0.2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1:22" ht="15.75" customHeight="1" x14ac:dyDescent="0.2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</row>
    <row r="643" spans="1:22" ht="15.75" customHeight="1" x14ac:dyDescent="0.2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</row>
    <row r="644" spans="1:22" ht="15.75" customHeight="1" x14ac:dyDescent="0.2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</row>
    <row r="645" spans="1:22" ht="15.75" customHeight="1" x14ac:dyDescent="0.2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</row>
    <row r="646" spans="1:22" ht="15.75" customHeight="1" x14ac:dyDescent="0.2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</row>
    <row r="647" spans="1:22" ht="15.75" customHeight="1" x14ac:dyDescent="0.2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</row>
    <row r="648" spans="1:22" ht="15.75" customHeight="1" x14ac:dyDescent="0.2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</row>
    <row r="649" spans="1:22" ht="15.75" customHeight="1" x14ac:dyDescent="0.2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</row>
    <row r="650" spans="1:22" ht="15.75" customHeight="1" x14ac:dyDescent="0.2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</row>
    <row r="651" spans="1:22" ht="15.75" customHeight="1" x14ac:dyDescent="0.2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</row>
    <row r="652" spans="1:22" ht="15.75" customHeight="1" x14ac:dyDescent="0.2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</row>
    <row r="653" spans="1:22" ht="15.75" customHeight="1" x14ac:dyDescent="0.2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</row>
    <row r="654" spans="1:22" ht="15.75" customHeight="1" x14ac:dyDescent="0.2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1:22" ht="15.75" customHeight="1" x14ac:dyDescent="0.2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1:22" ht="15.75" customHeight="1" x14ac:dyDescent="0.2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</row>
    <row r="657" spans="1:22" ht="15.75" customHeight="1" x14ac:dyDescent="0.2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</row>
    <row r="658" spans="1:22" ht="15.75" customHeight="1" x14ac:dyDescent="0.2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</row>
    <row r="659" spans="1:22" ht="15.75" customHeight="1" x14ac:dyDescent="0.2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</row>
    <row r="660" spans="1:22" ht="15.75" customHeight="1" x14ac:dyDescent="0.2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</row>
    <row r="661" spans="1:22" ht="15.75" customHeight="1" x14ac:dyDescent="0.2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</row>
    <row r="662" spans="1:22" ht="15.75" customHeight="1" x14ac:dyDescent="0.2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</row>
    <row r="663" spans="1:22" ht="15.75" customHeight="1" x14ac:dyDescent="0.2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</row>
    <row r="664" spans="1:22" ht="15.75" customHeight="1" x14ac:dyDescent="0.2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</row>
    <row r="665" spans="1:22" ht="15.75" customHeight="1" x14ac:dyDescent="0.2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</row>
    <row r="666" spans="1:22" ht="15.75" customHeight="1" x14ac:dyDescent="0.2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1:22" ht="15.75" customHeight="1" x14ac:dyDescent="0.2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1:22" ht="15.75" customHeight="1" x14ac:dyDescent="0.2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</row>
    <row r="669" spans="1:22" ht="15.75" customHeight="1" x14ac:dyDescent="0.2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</row>
    <row r="670" spans="1:22" ht="15.75" customHeight="1" x14ac:dyDescent="0.2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</row>
    <row r="671" spans="1:22" ht="15.75" customHeight="1" x14ac:dyDescent="0.2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</row>
    <row r="672" spans="1:22" ht="15.75" customHeight="1" x14ac:dyDescent="0.2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</row>
    <row r="673" spans="1:22" ht="15.75" customHeight="1" x14ac:dyDescent="0.2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</row>
    <row r="674" spans="1:22" ht="15.75" customHeight="1" x14ac:dyDescent="0.2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</row>
    <row r="675" spans="1:22" ht="15.75" customHeight="1" x14ac:dyDescent="0.2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</row>
    <row r="676" spans="1:22" ht="15.75" customHeight="1" x14ac:dyDescent="0.2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</row>
    <row r="677" spans="1:22" ht="15.75" customHeight="1" x14ac:dyDescent="0.2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</row>
    <row r="678" spans="1:22" ht="15.75" customHeight="1" x14ac:dyDescent="0.2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</row>
    <row r="679" spans="1:22" ht="15.75" customHeight="1" x14ac:dyDescent="0.2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</row>
    <row r="680" spans="1:22" ht="15.75" customHeight="1" x14ac:dyDescent="0.2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</row>
    <row r="681" spans="1:22" ht="15.75" customHeight="1" x14ac:dyDescent="0.2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</row>
    <row r="682" spans="1:22" ht="15.75" customHeight="1" x14ac:dyDescent="0.2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</row>
    <row r="683" spans="1:22" ht="15.75" customHeight="1" x14ac:dyDescent="0.2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</row>
    <row r="684" spans="1:22" ht="15.75" customHeight="1" x14ac:dyDescent="0.2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</row>
    <row r="685" spans="1:22" ht="15.75" customHeight="1" x14ac:dyDescent="0.2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</row>
    <row r="686" spans="1:22" ht="15.75" customHeight="1" x14ac:dyDescent="0.2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</row>
    <row r="687" spans="1:22" ht="15.75" customHeight="1" x14ac:dyDescent="0.2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</row>
    <row r="688" spans="1:22" ht="15.75" customHeight="1" x14ac:dyDescent="0.2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</row>
    <row r="689" spans="1:22" ht="15.75" customHeight="1" x14ac:dyDescent="0.2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</row>
    <row r="690" spans="1:22" ht="15.75" customHeight="1" x14ac:dyDescent="0.2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</row>
    <row r="691" spans="1:22" ht="15.75" customHeight="1" x14ac:dyDescent="0.2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</row>
    <row r="692" spans="1:22" ht="15.75" customHeight="1" x14ac:dyDescent="0.2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</row>
    <row r="693" spans="1:22" ht="15.75" customHeight="1" x14ac:dyDescent="0.2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</row>
    <row r="694" spans="1:22" ht="15.75" customHeight="1" x14ac:dyDescent="0.2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</row>
    <row r="695" spans="1:22" ht="15.75" customHeight="1" x14ac:dyDescent="0.2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</row>
    <row r="696" spans="1:22" ht="15.75" customHeight="1" x14ac:dyDescent="0.2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</row>
    <row r="697" spans="1:22" ht="15.75" customHeight="1" x14ac:dyDescent="0.2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</row>
    <row r="698" spans="1:22" ht="15.75" customHeight="1" x14ac:dyDescent="0.2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</row>
    <row r="699" spans="1:22" ht="15.75" customHeight="1" x14ac:dyDescent="0.2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</row>
    <row r="700" spans="1:22" ht="15.75" customHeight="1" x14ac:dyDescent="0.2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</row>
    <row r="701" spans="1:22" ht="15.75" customHeight="1" x14ac:dyDescent="0.2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</row>
    <row r="702" spans="1:22" ht="15.75" customHeight="1" x14ac:dyDescent="0.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</row>
    <row r="703" spans="1:22" ht="15.75" customHeight="1" x14ac:dyDescent="0.2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</row>
    <row r="704" spans="1:22" ht="15.75" customHeight="1" x14ac:dyDescent="0.2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</row>
    <row r="705" spans="1:22" ht="15.75" customHeight="1" x14ac:dyDescent="0.2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</row>
    <row r="706" spans="1:22" ht="15.75" customHeight="1" x14ac:dyDescent="0.2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</row>
    <row r="707" spans="1:22" ht="15.75" customHeight="1" x14ac:dyDescent="0.2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</row>
    <row r="708" spans="1:22" ht="15.75" customHeight="1" x14ac:dyDescent="0.2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</row>
    <row r="709" spans="1:22" ht="15.75" customHeight="1" x14ac:dyDescent="0.2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</row>
    <row r="710" spans="1:22" ht="15.75" customHeight="1" x14ac:dyDescent="0.2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</row>
    <row r="711" spans="1:22" ht="15.75" customHeight="1" x14ac:dyDescent="0.2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</row>
    <row r="712" spans="1:22" ht="15.75" customHeight="1" x14ac:dyDescent="0.2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</row>
    <row r="713" spans="1:22" ht="15.75" customHeight="1" x14ac:dyDescent="0.2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</row>
    <row r="714" spans="1:22" ht="15.75" customHeight="1" x14ac:dyDescent="0.2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</row>
    <row r="715" spans="1:22" ht="15.75" customHeight="1" x14ac:dyDescent="0.2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</row>
    <row r="716" spans="1:22" ht="15.75" customHeight="1" x14ac:dyDescent="0.2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</row>
    <row r="717" spans="1:22" ht="15.75" customHeight="1" x14ac:dyDescent="0.2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</row>
    <row r="718" spans="1:22" ht="15.75" customHeight="1" x14ac:dyDescent="0.2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</row>
    <row r="719" spans="1:22" ht="15.75" customHeight="1" x14ac:dyDescent="0.2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</row>
    <row r="720" spans="1:22" ht="15.75" customHeight="1" x14ac:dyDescent="0.2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</row>
    <row r="721" spans="1:22" ht="15.75" customHeight="1" x14ac:dyDescent="0.2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</row>
    <row r="722" spans="1:22" ht="15.75" customHeight="1" x14ac:dyDescent="0.2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</row>
    <row r="723" spans="1:22" ht="15.75" customHeight="1" x14ac:dyDescent="0.2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</row>
    <row r="724" spans="1:22" ht="15.75" customHeight="1" x14ac:dyDescent="0.2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</row>
    <row r="725" spans="1:22" ht="15.75" customHeight="1" x14ac:dyDescent="0.2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</row>
    <row r="726" spans="1:22" ht="15.75" customHeight="1" x14ac:dyDescent="0.2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</row>
    <row r="727" spans="1:22" ht="15.75" customHeight="1" x14ac:dyDescent="0.2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</row>
    <row r="728" spans="1:22" ht="15.75" customHeight="1" x14ac:dyDescent="0.2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</row>
    <row r="729" spans="1:22" ht="15.75" customHeight="1" x14ac:dyDescent="0.2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</row>
    <row r="730" spans="1:22" ht="15.75" customHeight="1" x14ac:dyDescent="0.2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</row>
    <row r="731" spans="1:22" ht="15.75" customHeight="1" x14ac:dyDescent="0.2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</row>
    <row r="732" spans="1:22" ht="15.75" customHeight="1" x14ac:dyDescent="0.2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</row>
    <row r="733" spans="1:22" ht="15.75" customHeight="1" x14ac:dyDescent="0.2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</row>
    <row r="734" spans="1:22" ht="15.75" customHeight="1" x14ac:dyDescent="0.2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</row>
    <row r="735" spans="1:22" ht="15.75" customHeight="1" x14ac:dyDescent="0.2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</row>
    <row r="736" spans="1:22" ht="15.75" customHeight="1" x14ac:dyDescent="0.2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</row>
    <row r="737" spans="1:22" ht="15.75" customHeight="1" x14ac:dyDescent="0.2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</row>
    <row r="738" spans="1:22" ht="15.75" customHeight="1" x14ac:dyDescent="0.2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</row>
    <row r="739" spans="1:22" ht="15.75" customHeight="1" x14ac:dyDescent="0.2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</row>
    <row r="740" spans="1:22" ht="15.75" customHeight="1" x14ac:dyDescent="0.2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</row>
    <row r="741" spans="1:22" ht="15.75" customHeight="1" x14ac:dyDescent="0.2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</row>
    <row r="742" spans="1:22" ht="15.75" customHeight="1" x14ac:dyDescent="0.2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</row>
    <row r="743" spans="1:22" ht="15.75" customHeight="1" x14ac:dyDescent="0.2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</row>
    <row r="744" spans="1:22" ht="15.75" customHeight="1" x14ac:dyDescent="0.2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</row>
    <row r="745" spans="1:22" ht="15.75" customHeight="1" x14ac:dyDescent="0.2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</row>
    <row r="746" spans="1:22" ht="15.75" customHeight="1" x14ac:dyDescent="0.2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</row>
    <row r="747" spans="1:22" ht="15.75" customHeight="1" x14ac:dyDescent="0.2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</row>
    <row r="748" spans="1:22" ht="15.75" customHeight="1" x14ac:dyDescent="0.2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</row>
    <row r="749" spans="1:22" ht="15.75" customHeight="1" x14ac:dyDescent="0.2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</row>
    <row r="750" spans="1:22" ht="15.75" customHeight="1" x14ac:dyDescent="0.2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</row>
    <row r="751" spans="1:22" ht="15.75" customHeight="1" x14ac:dyDescent="0.2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</row>
    <row r="752" spans="1:22" ht="15.75" customHeight="1" x14ac:dyDescent="0.2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</row>
    <row r="753" spans="1:22" ht="15.75" customHeight="1" x14ac:dyDescent="0.2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</row>
    <row r="754" spans="1:22" ht="15.75" customHeight="1" x14ac:dyDescent="0.2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</row>
    <row r="755" spans="1:22" ht="15.75" customHeight="1" x14ac:dyDescent="0.2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</row>
    <row r="756" spans="1:22" ht="15.75" customHeight="1" x14ac:dyDescent="0.2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</row>
    <row r="757" spans="1:22" ht="15.75" customHeight="1" x14ac:dyDescent="0.2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</row>
    <row r="758" spans="1:22" ht="15.75" customHeight="1" x14ac:dyDescent="0.2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</row>
    <row r="759" spans="1:22" ht="15.75" customHeight="1" x14ac:dyDescent="0.2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</row>
    <row r="760" spans="1:22" ht="15.75" customHeight="1" x14ac:dyDescent="0.2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</row>
    <row r="761" spans="1:22" ht="15.75" customHeight="1" x14ac:dyDescent="0.2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</row>
    <row r="762" spans="1:22" ht="15.75" customHeight="1" x14ac:dyDescent="0.2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</row>
    <row r="763" spans="1:22" ht="15.75" customHeight="1" x14ac:dyDescent="0.2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</row>
    <row r="764" spans="1:22" ht="15.75" customHeight="1" x14ac:dyDescent="0.2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</row>
    <row r="765" spans="1:22" ht="15.75" customHeight="1" x14ac:dyDescent="0.2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</row>
    <row r="766" spans="1:22" ht="15.75" customHeight="1" x14ac:dyDescent="0.2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</row>
    <row r="767" spans="1:22" ht="15.75" customHeight="1" x14ac:dyDescent="0.2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</row>
    <row r="768" spans="1:22" ht="15.75" customHeight="1" x14ac:dyDescent="0.2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</row>
    <row r="769" spans="1:22" ht="15.75" customHeight="1" x14ac:dyDescent="0.2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</row>
    <row r="770" spans="1:22" ht="15.75" customHeight="1" x14ac:dyDescent="0.2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</row>
    <row r="771" spans="1:22" ht="15.75" customHeight="1" x14ac:dyDescent="0.2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</row>
    <row r="772" spans="1:22" ht="15.75" customHeight="1" x14ac:dyDescent="0.2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</row>
    <row r="773" spans="1:22" ht="15.75" customHeight="1" x14ac:dyDescent="0.2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</row>
    <row r="774" spans="1:22" ht="15.75" customHeight="1" x14ac:dyDescent="0.2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</row>
    <row r="775" spans="1:22" ht="15.75" customHeight="1" x14ac:dyDescent="0.2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</row>
    <row r="776" spans="1:22" ht="15.75" customHeight="1" x14ac:dyDescent="0.2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</row>
    <row r="777" spans="1:22" ht="15.75" customHeight="1" x14ac:dyDescent="0.2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</row>
    <row r="778" spans="1:22" ht="15.75" customHeight="1" x14ac:dyDescent="0.2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</row>
    <row r="779" spans="1:22" ht="15.75" customHeight="1" x14ac:dyDescent="0.2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</row>
    <row r="780" spans="1:22" ht="15.75" customHeight="1" x14ac:dyDescent="0.2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</row>
    <row r="781" spans="1:22" ht="15.75" customHeight="1" x14ac:dyDescent="0.2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</row>
    <row r="782" spans="1:22" ht="15.75" customHeight="1" x14ac:dyDescent="0.2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</row>
    <row r="783" spans="1:22" ht="15.75" customHeight="1" x14ac:dyDescent="0.2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</row>
    <row r="784" spans="1:22" ht="15.75" customHeight="1" x14ac:dyDescent="0.2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</row>
    <row r="785" spans="1:22" ht="15.75" customHeight="1" x14ac:dyDescent="0.2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</row>
    <row r="786" spans="1:22" ht="15.75" customHeight="1" x14ac:dyDescent="0.2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</row>
    <row r="787" spans="1:22" ht="15.75" customHeight="1" x14ac:dyDescent="0.2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</row>
    <row r="788" spans="1:22" ht="15.75" customHeight="1" x14ac:dyDescent="0.2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</row>
    <row r="789" spans="1:22" ht="15.75" customHeight="1" x14ac:dyDescent="0.2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</row>
    <row r="790" spans="1:22" ht="15.75" customHeight="1" x14ac:dyDescent="0.2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</row>
    <row r="791" spans="1:22" ht="15.75" customHeight="1" x14ac:dyDescent="0.2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</row>
    <row r="792" spans="1:22" ht="15.75" customHeight="1" x14ac:dyDescent="0.2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</row>
    <row r="793" spans="1:22" ht="15.75" customHeight="1" x14ac:dyDescent="0.2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</row>
    <row r="794" spans="1:22" ht="15.75" customHeight="1" x14ac:dyDescent="0.2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</row>
    <row r="795" spans="1:22" ht="15.75" customHeight="1" x14ac:dyDescent="0.2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</row>
    <row r="796" spans="1:22" ht="15.75" customHeight="1" x14ac:dyDescent="0.2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</row>
    <row r="797" spans="1:22" ht="15.75" customHeight="1" x14ac:dyDescent="0.2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</row>
    <row r="798" spans="1:22" ht="15.75" customHeight="1" x14ac:dyDescent="0.2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</row>
    <row r="799" spans="1:22" ht="15.75" customHeight="1" x14ac:dyDescent="0.2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</row>
    <row r="800" spans="1:22" ht="15.75" customHeight="1" x14ac:dyDescent="0.2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</row>
    <row r="801" spans="1:22" ht="15.75" customHeight="1" x14ac:dyDescent="0.2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</row>
    <row r="802" spans="1:22" ht="15.75" customHeight="1" x14ac:dyDescent="0.2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</row>
    <row r="803" spans="1:22" ht="15.75" customHeight="1" x14ac:dyDescent="0.2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</row>
    <row r="804" spans="1:22" ht="15.75" customHeight="1" x14ac:dyDescent="0.2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</row>
    <row r="805" spans="1:22" ht="15.75" customHeight="1" x14ac:dyDescent="0.2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</row>
    <row r="806" spans="1:22" ht="15.75" customHeight="1" x14ac:dyDescent="0.2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</row>
    <row r="807" spans="1:22" ht="15.75" customHeight="1" x14ac:dyDescent="0.2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</row>
    <row r="808" spans="1:22" ht="15.75" customHeight="1" x14ac:dyDescent="0.2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</row>
    <row r="809" spans="1:22" ht="15.75" customHeight="1" x14ac:dyDescent="0.2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</row>
    <row r="810" spans="1:22" ht="15.75" customHeight="1" x14ac:dyDescent="0.2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</row>
    <row r="811" spans="1:22" ht="15.75" customHeight="1" x14ac:dyDescent="0.2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</row>
    <row r="812" spans="1:22" ht="15.75" customHeight="1" x14ac:dyDescent="0.2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</row>
    <row r="813" spans="1:22" ht="15.75" customHeight="1" x14ac:dyDescent="0.2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</row>
    <row r="814" spans="1:22" ht="15.75" customHeight="1" x14ac:dyDescent="0.2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</row>
    <row r="815" spans="1:22" ht="15.75" customHeight="1" x14ac:dyDescent="0.2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</row>
    <row r="816" spans="1:22" ht="15.75" customHeight="1" x14ac:dyDescent="0.2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</row>
    <row r="817" spans="1:22" ht="15.75" customHeight="1" x14ac:dyDescent="0.2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</row>
    <row r="818" spans="1:22" ht="15.75" customHeight="1" x14ac:dyDescent="0.2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</row>
    <row r="819" spans="1:22" ht="15.75" customHeight="1" x14ac:dyDescent="0.2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</row>
    <row r="820" spans="1:22" ht="15.75" customHeight="1" x14ac:dyDescent="0.2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</row>
    <row r="821" spans="1:22" ht="15.75" customHeight="1" x14ac:dyDescent="0.2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</row>
    <row r="822" spans="1:22" ht="15.75" customHeight="1" x14ac:dyDescent="0.2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</row>
    <row r="823" spans="1:22" ht="15.75" customHeight="1" x14ac:dyDescent="0.2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</row>
    <row r="824" spans="1:22" ht="15.75" customHeight="1" x14ac:dyDescent="0.2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</row>
    <row r="825" spans="1:22" ht="15.75" customHeight="1" x14ac:dyDescent="0.2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</row>
    <row r="826" spans="1:22" ht="15.75" customHeight="1" x14ac:dyDescent="0.2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</row>
    <row r="827" spans="1:22" ht="15.75" customHeight="1" x14ac:dyDescent="0.2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</row>
    <row r="828" spans="1:22" ht="15.75" customHeight="1" x14ac:dyDescent="0.2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</row>
    <row r="829" spans="1:22" ht="15.75" customHeight="1" x14ac:dyDescent="0.2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</row>
    <row r="830" spans="1:22" ht="15.75" customHeight="1" x14ac:dyDescent="0.2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</row>
    <row r="831" spans="1:22" ht="15.75" customHeight="1" x14ac:dyDescent="0.2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</row>
    <row r="832" spans="1:22" ht="15.75" customHeight="1" x14ac:dyDescent="0.2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</row>
    <row r="833" spans="1:22" ht="15.75" customHeight="1" x14ac:dyDescent="0.2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</row>
    <row r="834" spans="1:22" ht="15.75" customHeight="1" x14ac:dyDescent="0.2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</row>
    <row r="835" spans="1:22" ht="15.75" customHeight="1" x14ac:dyDescent="0.2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</row>
    <row r="836" spans="1:22" ht="15.75" customHeight="1" x14ac:dyDescent="0.2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</row>
    <row r="837" spans="1:22" ht="15.75" customHeight="1" x14ac:dyDescent="0.2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</row>
    <row r="838" spans="1:22" ht="15.75" customHeight="1" x14ac:dyDescent="0.2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</row>
    <row r="839" spans="1:22" ht="15.75" customHeight="1" x14ac:dyDescent="0.2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</row>
    <row r="840" spans="1:22" ht="15.75" customHeight="1" x14ac:dyDescent="0.2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</row>
    <row r="841" spans="1:22" ht="15.75" customHeight="1" x14ac:dyDescent="0.2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</row>
    <row r="842" spans="1:22" ht="15.75" customHeight="1" x14ac:dyDescent="0.2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</row>
    <row r="843" spans="1:22" ht="15.75" customHeight="1" x14ac:dyDescent="0.2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</row>
    <row r="844" spans="1:22" ht="15.75" customHeight="1" x14ac:dyDescent="0.2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</row>
    <row r="845" spans="1:22" ht="15.75" customHeight="1" x14ac:dyDescent="0.2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</row>
    <row r="846" spans="1:22" ht="15.75" customHeight="1" x14ac:dyDescent="0.2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</row>
    <row r="847" spans="1:22" ht="15.75" customHeight="1" x14ac:dyDescent="0.2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</row>
    <row r="848" spans="1:22" ht="15.75" customHeight="1" x14ac:dyDescent="0.2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</row>
    <row r="849" spans="1:22" ht="15.75" customHeight="1" x14ac:dyDescent="0.2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</row>
    <row r="850" spans="1:22" ht="15.75" customHeight="1" x14ac:dyDescent="0.2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</row>
    <row r="851" spans="1:22" ht="15.75" customHeight="1" x14ac:dyDescent="0.2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</row>
    <row r="852" spans="1:22" ht="15.75" customHeight="1" x14ac:dyDescent="0.2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</row>
    <row r="853" spans="1:22" ht="15.75" customHeight="1" x14ac:dyDescent="0.2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</row>
    <row r="854" spans="1:22" ht="15.75" customHeight="1" x14ac:dyDescent="0.2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</row>
    <row r="855" spans="1:22" ht="15.75" customHeight="1" x14ac:dyDescent="0.2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</row>
    <row r="856" spans="1:22" ht="15.75" customHeight="1" x14ac:dyDescent="0.2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</row>
    <row r="857" spans="1:22" ht="15.75" customHeight="1" x14ac:dyDescent="0.2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</row>
    <row r="858" spans="1:22" ht="15.75" customHeight="1" x14ac:dyDescent="0.2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</row>
    <row r="859" spans="1:22" ht="15.75" customHeight="1" x14ac:dyDescent="0.2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</row>
    <row r="860" spans="1:22" ht="15.75" customHeight="1" x14ac:dyDescent="0.2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</row>
    <row r="861" spans="1:22" ht="15.75" customHeight="1" x14ac:dyDescent="0.2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</row>
    <row r="862" spans="1:22" ht="15.75" customHeight="1" x14ac:dyDescent="0.2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</row>
    <row r="863" spans="1:22" ht="15.75" customHeight="1" x14ac:dyDescent="0.2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</row>
    <row r="864" spans="1:22" ht="15.75" customHeight="1" x14ac:dyDescent="0.2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</row>
    <row r="865" spans="1:22" ht="15.75" customHeight="1" x14ac:dyDescent="0.2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</row>
    <row r="866" spans="1:22" ht="15.75" customHeight="1" x14ac:dyDescent="0.2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</row>
    <row r="867" spans="1:22" ht="15.75" customHeight="1" x14ac:dyDescent="0.2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</row>
    <row r="868" spans="1:22" ht="15.75" customHeight="1" x14ac:dyDescent="0.2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</row>
    <row r="869" spans="1:22" ht="15.75" customHeight="1" x14ac:dyDescent="0.2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</row>
    <row r="870" spans="1:22" ht="15.75" customHeight="1" x14ac:dyDescent="0.2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</row>
    <row r="871" spans="1:22" ht="15.75" customHeight="1" x14ac:dyDescent="0.2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</row>
    <row r="872" spans="1:22" ht="15.75" customHeight="1" x14ac:dyDescent="0.2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</row>
    <row r="873" spans="1:22" ht="15.75" customHeight="1" x14ac:dyDescent="0.2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</row>
    <row r="874" spans="1:22" ht="15.75" customHeight="1" x14ac:dyDescent="0.2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</row>
    <row r="875" spans="1:22" ht="15.75" customHeight="1" x14ac:dyDescent="0.2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</row>
    <row r="876" spans="1:22" ht="15.75" customHeight="1" x14ac:dyDescent="0.2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</row>
    <row r="877" spans="1:22" ht="15.75" customHeight="1" x14ac:dyDescent="0.2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</row>
    <row r="878" spans="1:22" ht="15.75" customHeight="1" x14ac:dyDescent="0.2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</row>
    <row r="879" spans="1:22" ht="15.75" customHeight="1" x14ac:dyDescent="0.2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</row>
    <row r="880" spans="1:22" ht="15.75" customHeight="1" x14ac:dyDescent="0.2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</row>
    <row r="881" spans="1:22" ht="15.75" customHeight="1" x14ac:dyDescent="0.2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</row>
    <row r="882" spans="1:22" ht="15.75" customHeight="1" x14ac:dyDescent="0.2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</row>
    <row r="883" spans="1:22" ht="15.75" customHeight="1" x14ac:dyDescent="0.2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</row>
    <row r="884" spans="1:22" ht="15.75" customHeight="1" x14ac:dyDescent="0.2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</row>
    <row r="885" spans="1:22" ht="15.75" customHeight="1" x14ac:dyDescent="0.2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</row>
    <row r="886" spans="1:22" ht="15.75" customHeight="1" x14ac:dyDescent="0.2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</row>
    <row r="887" spans="1:22" ht="15.75" customHeight="1" x14ac:dyDescent="0.2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</row>
    <row r="888" spans="1:22" ht="15.75" customHeight="1" x14ac:dyDescent="0.2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</row>
    <row r="889" spans="1:22" ht="15.75" customHeight="1" x14ac:dyDescent="0.2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</row>
    <row r="890" spans="1:22" ht="15.75" customHeight="1" x14ac:dyDescent="0.2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</row>
    <row r="891" spans="1:22" ht="15.75" customHeight="1" x14ac:dyDescent="0.2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</row>
    <row r="892" spans="1:22" ht="15.75" customHeight="1" x14ac:dyDescent="0.2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</row>
    <row r="893" spans="1:22" ht="15.75" customHeight="1" x14ac:dyDescent="0.2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</row>
    <row r="894" spans="1:22" ht="15.75" customHeight="1" x14ac:dyDescent="0.2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</row>
    <row r="895" spans="1:22" ht="15.75" customHeight="1" x14ac:dyDescent="0.2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</row>
    <row r="896" spans="1:22" ht="15.75" customHeight="1" x14ac:dyDescent="0.2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</row>
    <row r="897" spans="1:22" ht="15.75" customHeight="1" x14ac:dyDescent="0.2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</row>
    <row r="898" spans="1:22" ht="15.75" customHeight="1" x14ac:dyDescent="0.2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</row>
    <row r="899" spans="1:22" ht="15.75" customHeight="1" x14ac:dyDescent="0.2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</row>
    <row r="900" spans="1:22" ht="15.75" customHeight="1" x14ac:dyDescent="0.2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</row>
    <row r="901" spans="1:22" ht="15.75" customHeight="1" x14ac:dyDescent="0.2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</row>
    <row r="902" spans="1:22" ht="15.75" customHeight="1" x14ac:dyDescent="0.2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</row>
    <row r="903" spans="1:22" ht="15.75" customHeight="1" x14ac:dyDescent="0.2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</row>
    <row r="904" spans="1:22" ht="15.75" customHeight="1" x14ac:dyDescent="0.2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</row>
    <row r="905" spans="1:22" ht="15.75" customHeight="1" x14ac:dyDescent="0.2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</row>
    <row r="906" spans="1:22" ht="15.75" customHeight="1" x14ac:dyDescent="0.2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</row>
    <row r="907" spans="1:22" ht="15.75" customHeight="1" x14ac:dyDescent="0.2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</row>
    <row r="908" spans="1:22" ht="15.75" customHeight="1" x14ac:dyDescent="0.2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</row>
    <row r="909" spans="1:22" ht="15.75" customHeight="1" x14ac:dyDescent="0.2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</row>
    <row r="910" spans="1:22" ht="15.75" customHeight="1" x14ac:dyDescent="0.2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</row>
    <row r="911" spans="1:22" ht="15.75" customHeight="1" x14ac:dyDescent="0.2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</row>
    <row r="912" spans="1:22" ht="15.75" customHeight="1" x14ac:dyDescent="0.2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</row>
    <row r="913" spans="1:22" ht="15.75" customHeight="1" x14ac:dyDescent="0.2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</row>
    <row r="914" spans="1:22" ht="15.75" customHeight="1" x14ac:dyDescent="0.2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</row>
    <row r="915" spans="1:22" ht="15.75" customHeight="1" x14ac:dyDescent="0.2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</row>
    <row r="916" spans="1:22" ht="15.75" customHeight="1" x14ac:dyDescent="0.2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</row>
    <row r="917" spans="1:22" ht="15.75" customHeight="1" x14ac:dyDescent="0.2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</row>
    <row r="918" spans="1:22" ht="15.75" customHeight="1" x14ac:dyDescent="0.2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</row>
    <row r="919" spans="1:22" ht="15.75" customHeight="1" x14ac:dyDescent="0.2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</row>
    <row r="920" spans="1:22" ht="15.75" customHeight="1" x14ac:dyDescent="0.2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</row>
    <row r="921" spans="1:22" ht="15.75" customHeight="1" x14ac:dyDescent="0.2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</row>
    <row r="922" spans="1:22" ht="15.75" customHeight="1" x14ac:dyDescent="0.2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</row>
    <row r="923" spans="1:22" ht="15.75" customHeight="1" x14ac:dyDescent="0.2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</row>
    <row r="924" spans="1:22" ht="15.75" customHeight="1" x14ac:dyDescent="0.2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</row>
    <row r="925" spans="1:22" ht="15.75" customHeight="1" x14ac:dyDescent="0.2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</row>
    <row r="926" spans="1:22" ht="15.75" customHeight="1" x14ac:dyDescent="0.2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</row>
    <row r="927" spans="1:22" ht="15.75" customHeight="1" x14ac:dyDescent="0.2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</row>
    <row r="928" spans="1:22" ht="15.75" customHeight="1" x14ac:dyDescent="0.2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</row>
    <row r="929" spans="1:22" ht="15.75" customHeight="1" x14ac:dyDescent="0.2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</row>
    <row r="930" spans="1:22" ht="15.75" customHeight="1" x14ac:dyDescent="0.2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</row>
    <row r="931" spans="1:22" ht="15.75" customHeight="1" x14ac:dyDescent="0.2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</row>
    <row r="932" spans="1:22" ht="15.75" customHeight="1" x14ac:dyDescent="0.2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</row>
    <row r="933" spans="1:22" ht="15.75" customHeight="1" x14ac:dyDescent="0.2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</row>
    <row r="934" spans="1:22" ht="15.75" customHeight="1" x14ac:dyDescent="0.2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</row>
    <row r="935" spans="1:22" ht="15.75" customHeight="1" x14ac:dyDescent="0.2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</row>
    <row r="936" spans="1:22" ht="15.75" customHeight="1" x14ac:dyDescent="0.2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</row>
    <row r="937" spans="1:22" ht="15.75" customHeight="1" x14ac:dyDescent="0.2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</row>
    <row r="938" spans="1:22" ht="15.75" customHeight="1" x14ac:dyDescent="0.2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</row>
    <row r="939" spans="1:22" ht="15.75" customHeight="1" x14ac:dyDescent="0.2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</row>
    <row r="940" spans="1:22" ht="15.75" customHeight="1" x14ac:dyDescent="0.2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</row>
    <row r="941" spans="1:22" ht="15.75" customHeight="1" x14ac:dyDescent="0.2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</row>
    <row r="942" spans="1:22" ht="15.75" customHeight="1" x14ac:dyDescent="0.2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</row>
    <row r="943" spans="1:22" ht="15.75" customHeight="1" x14ac:dyDescent="0.2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</row>
    <row r="944" spans="1:22" ht="15.75" customHeight="1" x14ac:dyDescent="0.2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</row>
    <row r="945" spans="1:22" ht="15.75" customHeight="1" x14ac:dyDescent="0.2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</row>
    <row r="946" spans="1:22" ht="15.75" customHeight="1" x14ac:dyDescent="0.2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</row>
    <row r="947" spans="1:22" ht="15.75" customHeight="1" x14ac:dyDescent="0.2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</row>
    <row r="948" spans="1:22" ht="15.75" customHeight="1" x14ac:dyDescent="0.2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</row>
    <row r="949" spans="1:22" ht="15.75" customHeight="1" x14ac:dyDescent="0.2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</row>
    <row r="950" spans="1:22" ht="15.75" customHeight="1" x14ac:dyDescent="0.2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</row>
    <row r="951" spans="1:22" ht="15.75" customHeight="1" x14ac:dyDescent="0.2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</row>
    <row r="952" spans="1:22" ht="15.75" customHeight="1" x14ac:dyDescent="0.2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</row>
    <row r="953" spans="1:22" ht="15.75" customHeight="1" x14ac:dyDescent="0.2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</row>
    <row r="954" spans="1:22" ht="15.75" customHeight="1" x14ac:dyDescent="0.2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</row>
    <row r="955" spans="1:22" ht="15.75" customHeight="1" x14ac:dyDescent="0.2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</row>
    <row r="956" spans="1:22" ht="15.75" customHeight="1" x14ac:dyDescent="0.2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</row>
    <row r="957" spans="1:22" ht="15.75" customHeight="1" x14ac:dyDescent="0.2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</row>
    <row r="958" spans="1:22" ht="15.75" customHeight="1" x14ac:dyDescent="0.2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</row>
    <row r="959" spans="1:22" ht="15.75" customHeight="1" x14ac:dyDescent="0.2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</row>
    <row r="960" spans="1:22" ht="15.75" customHeight="1" x14ac:dyDescent="0.2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</row>
    <row r="961" spans="1:22" ht="15.75" customHeight="1" x14ac:dyDescent="0.2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</row>
    <row r="962" spans="1:22" ht="15.75" customHeight="1" x14ac:dyDescent="0.2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</row>
    <row r="963" spans="1:22" ht="15.75" customHeight="1" x14ac:dyDescent="0.2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</row>
    <row r="964" spans="1:22" ht="15.75" customHeight="1" x14ac:dyDescent="0.2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</row>
    <row r="965" spans="1:22" ht="15.75" customHeight="1" x14ac:dyDescent="0.2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</row>
    <row r="966" spans="1:22" ht="15.75" customHeight="1" x14ac:dyDescent="0.2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</row>
    <row r="967" spans="1:22" ht="15.75" customHeight="1" x14ac:dyDescent="0.2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</row>
    <row r="968" spans="1:22" ht="15.75" customHeight="1" x14ac:dyDescent="0.2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</row>
    <row r="969" spans="1:22" ht="15.75" customHeight="1" x14ac:dyDescent="0.2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</row>
    <row r="970" spans="1:22" ht="15.75" customHeight="1" x14ac:dyDescent="0.2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</row>
    <row r="971" spans="1:22" ht="15.75" customHeight="1" x14ac:dyDescent="0.2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</row>
    <row r="972" spans="1:22" ht="15.75" customHeight="1" x14ac:dyDescent="0.2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</row>
    <row r="973" spans="1:22" ht="15.75" customHeight="1" x14ac:dyDescent="0.2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</row>
    <row r="974" spans="1:22" ht="15.75" customHeight="1" x14ac:dyDescent="0.2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</row>
    <row r="975" spans="1:22" ht="15.75" customHeight="1" x14ac:dyDescent="0.2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</row>
    <row r="976" spans="1:22" ht="15.75" customHeight="1" x14ac:dyDescent="0.2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</row>
    <row r="977" spans="1:22" ht="15.75" customHeight="1" x14ac:dyDescent="0.2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</row>
    <row r="978" spans="1:22" ht="15.75" customHeight="1" x14ac:dyDescent="0.2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</row>
    <row r="979" spans="1:22" ht="15.75" customHeight="1" x14ac:dyDescent="0.2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</row>
    <row r="980" spans="1:22" ht="15.75" customHeight="1" x14ac:dyDescent="0.2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</row>
    <row r="981" spans="1:22" ht="15.75" customHeight="1" x14ac:dyDescent="0.2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</row>
    <row r="982" spans="1:22" ht="15.75" customHeight="1" x14ac:dyDescent="0.2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</row>
    <row r="983" spans="1:22" ht="15.75" customHeight="1" x14ac:dyDescent="0.2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</row>
    <row r="984" spans="1:22" ht="15.75" customHeight="1" x14ac:dyDescent="0.2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</row>
    <row r="985" spans="1:22" ht="15.75" customHeight="1" x14ac:dyDescent="0.2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</row>
    <row r="986" spans="1:22" ht="15.75" customHeight="1" x14ac:dyDescent="0.2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</row>
    <row r="987" spans="1:22" ht="15.75" customHeight="1" x14ac:dyDescent="0.2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</row>
    <row r="988" spans="1:22" ht="15.75" customHeight="1" x14ac:dyDescent="0.2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</row>
    <row r="989" spans="1:22" ht="15.75" customHeight="1" x14ac:dyDescent="0.2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</row>
    <row r="990" spans="1:22" ht="15.75" customHeight="1" x14ac:dyDescent="0.2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</row>
    <row r="991" spans="1:22" ht="15.75" customHeight="1" x14ac:dyDescent="0.2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</row>
    <row r="992" spans="1:22" ht="15.75" customHeight="1" x14ac:dyDescent="0.2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</row>
    <row r="993" spans="1:22" ht="15.75" customHeight="1" x14ac:dyDescent="0.2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</row>
    <row r="994" spans="1:22" ht="15.75" customHeight="1" x14ac:dyDescent="0.2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</row>
    <row r="995" spans="1:22" ht="15.75" customHeight="1" x14ac:dyDescent="0.2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</row>
    <row r="996" spans="1:22" ht="15.75" customHeight="1" x14ac:dyDescent="0.2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</row>
    <row r="997" spans="1:22" ht="15.75" customHeight="1" x14ac:dyDescent="0.2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</row>
    <row r="998" spans="1:22" ht="15.75" customHeight="1" x14ac:dyDescent="0.2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</row>
    <row r="999" spans="1:22" ht="15.75" customHeight="1" x14ac:dyDescent="0.2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</row>
    <row r="1000" spans="1:22" ht="15.75" customHeight="1" x14ac:dyDescent="0.2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</row>
    <row r="1001" spans="1:22" ht="15.75" customHeight="1" x14ac:dyDescent="0.2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</row>
    <row r="1002" spans="1:22" ht="15.75" customHeight="1" x14ac:dyDescent="0.2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</row>
    <row r="1003" spans="1:22" ht="15.75" customHeight="1" x14ac:dyDescent="0.2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</row>
    <row r="1004" spans="1:22" ht="15.75" customHeight="1" x14ac:dyDescent="0.2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</row>
    <row r="1005" spans="1:22" ht="15.75" customHeight="1" x14ac:dyDescent="0.2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</row>
    <row r="1006" spans="1:22" ht="15.75" customHeight="1" x14ac:dyDescent="0.2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</row>
    <row r="1007" spans="1:22" ht="15.75" customHeight="1" x14ac:dyDescent="0.2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</row>
    <row r="1008" spans="1:22" ht="15.75" customHeight="1" x14ac:dyDescent="0.2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</row>
    <row r="1009" spans="1:22" ht="15.75" customHeight="1" x14ac:dyDescent="0.2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</row>
    <row r="1010" spans="1:22" ht="15.75" customHeight="1" x14ac:dyDescent="0.2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</row>
    <row r="1011" spans="1:22" ht="15.75" customHeight="1" x14ac:dyDescent="0.2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</row>
    <row r="1012" spans="1:22" ht="15.75" customHeight="1" x14ac:dyDescent="0.2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</row>
    <row r="1013" spans="1:22" ht="15.75" customHeight="1" x14ac:dyDescent="0.2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</row>
    <row r="1014" spans="1:22" ht="15.75" customHeight="1" x14ac:dyDescent="0.2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</row>
  </sheetData>
  <mergeCells count="2">
    <mergeCell ref="F15:G15"/>
    <mergeCell ref="B15:D15"/>
  </mergeCells>
  <pageMargins left="0.7" right="0.7" top="0.75" bottom="0.75" header="0" footer="0"/>
  <pageSetup orientation="portrait"/>
  <ignoredErrors>
    <ignoredError sqref="C35 G35 G38 C38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Group Box 3">
              <controlPr defaultSize="0" autoFill="0" autoPict="0">
                <anchor moveWithCells="1">
                  <from>
                    <xdr:col>5</xdr:col>
                    <xdr:colOff>1308100</xdr:colOff>
                    <xdr:row>5</xdr:row>
                    <xdr:rowOff>254000</xdr:rowOff>
                  </from>
                  <to>
                    <xdr:col>6</xdr:col>
                    <xdr:colOff>1778000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" name="Group Box 14">
              <controlPr defaultSize="0" autoFill="0" autoPict="0">
                <anchor moveWithCells="1">
                  <from>
                    <xdr:col>5</xdr:col>
                    <xdr:colOff>1320800</xdr:colOff>
                    <xdr:row>5</xdr:row>
                    <xdr:rowOff>254000</xdr:rowOff>
                  </from>
                  <to>
                    <xdr:col>6</xdr:col>
                    <xdr:colOff>1778000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Option Button 17">
              <controlPr defaultSize="0" autoFill="0" autoLine="0" autoPict="0" macro="[0]!RF">
                <anchor moveWithCells="1">
                  <from>
                    <xdr:col>5</xdr:col>
                    <xdr:colOff>1358900</xdr:colOff>
                    <xdr:row>7</xdr:row>
                    <xdr:rowOff>12700</xdr:rowOff>
                  </from>
                  <to>
                    <xdr:col>7</xdr:col>
                    <xdr:colOff>292100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Option Button 18">
              <controlPr defaultSize="0" autoFill="0" autoLine="0" autoPict="0" macro="[0]!AA">
                <anchor moveWithCells="1">
                  <from>
                    <xdr:col>5</xdr:col>
                    <xdr:colOff>1346200</xdr:colOff>
                    <xdr:row>5</xdr:row>
                    <xdr:rowOff>279400</xdr:rowOff>
                  </from>
                  <to>
                    <xdr:col>6</xdr:col>
                    <xdr:colOff>2032000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2B71B-8FC6-C74F-9B70-D8775AE61E67}">
  <sheetPr codeName="Sheet2"/>
  <dimension ref="B2:D4"/>
  <sheetViews>
    <sheetView showGridLines="0" workbookViewId="0">
      <selection activeCell="F5" sqref="F5"/>
    </sheetView>
  </sheetViews>
  <sheetFormatPr baseColWidth="10" defaultRowHeight="15" x14ac:dyDescent="0.2"/>
  <cols>
    <col min="1" max="1" width="10.83203125" style="1"/>
    <col min="2" max="2" width="22.1640625" style="3" bestFit="1" customWidth="1"/>
    <col min="3" max="3" width="10.83203125" style="3"/>
    <col min="4" max="4" width="29" style="3" bestFit="1" customWidth="1"/>
    <col min="5" max="16384" width="10.83203125" style="1"/>
  </cols>
  <sheetData>
    <row r="2" spans="2:4" x14ac:dyDescent="0.2">
      <c r="B2" s="3" t="s">
        <v>3</v>
      </c>
      <c r="D2" s="3" t="s">
        <v>4</v>
      </c>
    </row>
    <row r="4" spans="2:4" x14ac:dyDescent="0.2">
      <c r="B4" s="4">
        <v>0.1</v>
      </c>
      <c r="D4" s="4">
        <v>0.18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D0FE4-A052-A04C-B704-F90CC9F127A1}">
  <sheetPr codeName="Sheet3"/>
  <dimension ref="A1:I1525"/>
  <sheetViews>
    <sheetView showGridLines="0" workbookViewId="0">
      <selection activeCell="F1535" sqref="F1535"/>
    </sheetView>
  </sheetViews>
  <sheetFormatPr baseColWidth="10" defaultRowHeight="15" x14ac:dyDescent="0.2"/>
  <cols>
    <col min="1" max="1" width="10.83203125" style="1"/>
    <col min="2" max="2" width="12.1640625" style="1" bestFit="1" customWidth="1"/>
    <col min="3" max="4" width="10.83203125" style="11"/>
    <col min="5" max="5" width="12.1640625" style="12" bestFit="1" customWidth="1"/>
    <col min="6" max="6" width="19" style="1" bestFit="1" customWidth="1"/>
    <col min="7" max="7" width="15.5" style="1" customWidth="1"/>
    <col min="8" max="16384" width="10.83203125" style="1"/>
  </cols>
  <sheetData>
    <row r="1" spans="2:9" x14ac:dyDescent="0.2">
      <c r="C1" s="1"/>
      <c r="D1" s="1"/>
      <c r="E1" s="1"/>
    </row>
    <row r="2" spans="2:9" x14ac:dyDescent="0.2">
      <c r="B2" s="60" t="s">
        <v>6</v>
      </c>
      <c r="C2" s="1"/>
      <c r="D2" s="1"/>
      <c r="E2" s="5" t="s">
        <v>9</v>
      </c>
      <c r="F2" s="5">
        <v>2022</v>
      </c>
      <c r="G2" s="60" t="s">
        <v>12</v>
      </c>
      <c r="H2" s="5"/>
      <c r="I2" s="5"/>
    </row>
    <row r="3" spans="2:9" x14ac:dyDescent="0.2">
      <c r="B3" s="60"/>
      <c r="C3" s="1"/>
      <c r="D3" s="1"/>
      <c r="E3" s="6" t="s">
        <v>10</v>
      </c>
      <c r="F3" s="6" t="s">
        <v>11</v>
      </c>
      <c r="G3" s="60"/>
      <c r="H3" s="6"/>
      <c r="I3" s="6"/>
    </row>
    <row r="4" spans="2:9" x14ac:dyDescent="0.2">
      <c r="C4" s="1"/>
      <c r="D4" s="1"/>
      <c r="E4" s="6"/>
      <c r="F4" s="6"/>
      <c r="H4" s="6"/>
      <c r="I4" s="6"/>
    </row>
    <row r="5" spans="2:9" x14ac:dyDescent="0.2">
      <c r="B5" s="7" t="s">
        <v>7</v>
      </c>
      <c r="C5" s="7" t="s">
        <v>14</v>
      </c>
      <c r="D5" s="7" t="s">
        <v>13</v>
      </c>
      <c r="E5" s="7" t="s">
        <v>8</v>
      </c>
      <c r="G5" s="7" t="s">
        <v>7</v>
      </c>
      <c r="H5" s="7" t="s">
        <v>8</v>
      </c>
    </row>
    <row r="6" spans="2:9" hidden="1" x14ac:dyDescent="0.2">
      <c r="B6" s="8">
        <v>43466</v>
      </c>
      <c r="C6" s="9">
        <f ca="1">RAND()*(18000-10000)+10000</f>
        <v>13812.500859107902</v>
      </c>
      <c r="D6" s="9">
        <f ca="1">RAND()*(18000-10000)+10000</f>
        <v>15900.583405316191</v>
      </c>
      <c r="E6" s="10">
        <f ca="1">RAND()*(30%-0%)+0%</f>
        <v>0.22362487244287652</v>
      </c>
      <c r="G6" s="8">
        <v>43466</v>
      </c>
      <c r="H6" s="10">
        <f ca="1">RAND()*(7%-0%)+0%</f>
        <v>5.5217558590937348E-2</v>
      </c>
    </row>
    <row r="7" spans="2:9" hidden="1" x14ac:dyDescent="0.2">
      <c r="B7" s="8">
        <v>43467</v>
      </c>
      <c r="C7" s="9">
        <f t="shared" ref="C7:C70" ca="1" si="0">RAND()*(18000-10000)+10000</f>
        <v>13491.991182274205</v>
      </c>
      <c r="D7" s="9">
        <f t="shared" ref="D7:D70" ca="1" si="1">RAND()*(18000-10000)+10000</f>
        <v>10824.966131377987</v>
      </c>
      <c r="E7" s="10">
        <f t="shared" ref="E7:E70" ca="1" si="2">RAND()*(30%-0%)+0%</f>
        <v>0.10448472881828892</v>
      </c>
      <c r="G7" s="8">
        <v>43467</v>
      </c>
      <c r="H7" s="10">
        <f t="shared" ref="H7:H70" ca="1" si="3">RAND()*(7%-0%)+0%</f>
        <v>6.8464263081221499E-2</v>
      </c>
    </row>
    <row r="8" spans="2:9" hidden="1" x14ac:dyDescent="0.2">
      <c r="B8" s="8">
        <v>43468</v>
      </c>
      <c r="C8" s="9">
        <f t="shared" ca="1" si="0"/>
        <v>16748.132642313234</v>
      </c>
      <c r="D8" s="9">
        <f t="shared" ca="1" si="1"/>
        <v>10014.910297600803</v>
      </c>
      <c r="E8" s="10">
        <f t="shared" ca="1" si="2"/>
        <v>4.423617802054397E-2</v>
      </c>
      <c r="G8" s="8">
        <v>43468</v>
      </c>
      <c r="H8" s="10">
        <f t="shared" ca="1" si="3"/>
        <v>2.2936180045365392E-2</v>
      </c>
    </row>
    <row r="9" spans="2:9" hidden="1" x14ac:dyDescent="0.2">
      <c r="B9" s="8">
        <v>43469</v>
      </c>
      <c r="C9" s="9">
        <f t="shared" ca="1" si="0"/>
        <v>16870.280545948543</v>
      </c>
      <c r="D9" s="9">
        <f t="shared" ca="1" si="1"/>
        <v>11708.116218907977</v>
      </c>
      <c r="E9" s="10">
        <f t="shared" ca="1" si="2"/>
        <v>0.24957078380465303</v>
      </c>
      <c r="G9" s="8">
        <v>43469</v>
      </c>
      <c r="H9" s="10">
        <f t="shared" ca="1" si="3"/>
        <v>1.3987314137980191E-3</v>
      </c>
    </row>
    <row r="10" spans="2:9" hidden="1" x14ac:dyDescent="0.2">
      <c r="B10" s="8">
        <v>43470</v>
      </c>
      <c r="C10" s="9">
        <f t="shared" ca="1" si="0"/>
        <v>11597.8321143134</v>
      </c>
      <c r="D10" s="9">
        <f t="shared" ca="1" si="1"/>
        <v>13404.946246543939</v>
      </c>
      <c r="E10" s="10">
        <f t="shared" ca="1" si="2"/>
        <v>0.29650186924125194</v>
      </c>
      <c r="G10" s="8">
        <v>43470</v>
      </c>
      <c r="H10" s="10">
        <f t="shared" ca="1" si="3"/>
        <v>5.1517399299335173E-2</v>
      </c>
    </row>
    <row r="11" spans="2:9" hidden="1" x14ac:dyDescent="0.2">
      <c r="B11" s="8">
        <v>43471</v>
      </c>
      <c r="C11" s="9">
        <f t="shared" ca="1" si="0"/>
        <v>12085.72473881891</v>
      </c>
      <c r="D11" s="9">
        <f t="shared" ca="1" si="1"/>
        <v>14639.466097091374</v>
      </c>
      <c r="E11" s="10">
        <f t="shared" ca="1" si="2"/>
        <v>0.22913374044571663</v>
      </c>
      <c r="G11" s="8">
        <v>43471</v>
      </c>
      <c r="H11" s="10">
        <f t="shared" ca="1" si="3"/>
        <v>1.2504556678338741E-2</v>
      </c>
    </row>
    <row r="12" spans="2:9" hidden="1" x14ac:dyDescent="0.2">
      <c r="B12" s="8">
        <v>43472</v>
      </c>
      <c r="C12" s="9">
        <f t="shared" ca="1" si="0"/>
        <v>10835.17480182803</v>
      </c>
      <c r="D12" s="9">
        <f t="shared" ca="1" si="1"/>
        <v>17161.876499252685</v>
      </c>
      <c r="E12" s="10">
        <f t="shared" ca="1" si="2"/>
        <v>0.28584655798464076</v>
      </c>
      <c r="G12" s="8">
        <v>43472</v>
      </c>
      <c r="H12" s="10">
        <f t="shared" ca="1" si="3"/>
        <v>2.0386695193916816E-2</v>
      </c>
    </row>
    <row r="13" spans="2:9" hidden="1" x14ac:dyDescent="0.2">
      <c r="B13" s="8">
        <v>43473</v>
      </c>
      <c r="C13" s="9">
        <f t="shared" ca="1" si="0"/>
        <v>14106.887521196546</v>
      </c>
      <c r="D13" s="9">
        <f t="shared" ca="1" si="1"/>
        <v>14893.936698383759</v>
      </c>
      <c r="E13" s="10">
        <f t="shared" ca="1" si="2"/>
        <v>0.21993684400632285</v>
      </c>
      <c r="G13" s="8">
        <v>43473</v>
      </c>
      <c r="H13" s="10">
        <f t="shared" ca="1" si="3"/>
        <v>5.584876907776555E-2</v>
      </c>
    </row>
    <row r="14" spans="2:9" hidden="1" x14ac:dyDescent="0.2">
      <c r="B14" s="8">
        <v>43474</v>
      </c>
      <c r="C14" s="9">
        <f t="shared" ca="1" si="0"/>
        <v>13707.169739619159</v>
      </c>
      <c r="D14" s="9">
        <f t="shared" ca="1" si="1"/>
        <v>15974.700028080155</v>
      </c>
      <c r="E14" s="10">
        <f t="shared" ca="1" si="2"/>
        <v>3.9465679156260848E-2</v>
      </c>
      <c r="G14" s="8">
        <v>43474</v>
      </c>
      <c r="H14" s="10">
        <f t="shared" ca="1" si="3"/>
        <v>5.5359916566902978E-2</v>
      </c>
    </row>
    <row r="15" spans="2:9" hidden="1" x14ac:dyDescent="0.2">
      <c r="B15" s="8">
        <v>43475</v>
      </c>
      <c r="C15" s="9">
        <f t="shared" ca="1" si="0"/>
        <v>12450.008569073983</v>
      </c>
      <c r="D15" s="9">
        <f t="shared" ca="1" si="1"/>
        <v>14428.757844015934</v>
      </c>
      <c r="E15" s="10">
        <f t="shared" ca="1" si="2"/>
        <v>1.862611908170635E-2</v>
      </c>
      <c r="G15" s="8">
        <v>43475</v>
      </c>
      <c r="H15" s="10">
        <f t="shared" ca="1" si="3"/>
        <v>4.6252187323043169E-2</v>
      </c>
    </row>
    <row r="16" spans="2:9" hidden="1" x14ac:dyDescent="0.2">
      <c r="B16" s="8">
        <v>43476</v>
      </c>
      <c r="C16" s="9">
        <f t="shared" ca="1" si="0"/>
        <v>10495.170022397158</v>
      </c>
      <c r="D16" s="9">
        <f t="shared" ca="1" si="1"/>
        <v>15924.150081867594</v>
      </c>
      <c r="E16" s="10">
        <f t="shared" ca="1" si="2"/>
        <v>3.5277044444797734E-2</v>
      </c>
      <c r="G16" s="8">
        <v>43476</v>
      </c>
      <c r="H16" s="10">
        <f t="shared" ca="1" si="3"/>
        <v>5.2340770261427635E-3</v>
      </c>
    </row>
    <row r="17" spans="2:8" hidden="1" x14ac:dyDescent="0.2">
      <c r="B17" s="8">
        <v>43477</v>
      </c>
      <c r="C17" s="9">
        <f t="shared" ca="1" si="0"/>
        <v>17849.762256628965</v>
      </c>
      <c r="D17" s="9">
        <f t="shared" ca="1" si="1"/>
        <v>10150.409760451643</v>
      </c>
      <c r="E17" s="10">
        <f t="shared" ca="1" si="2"/>
        <v>3.0943690513065003E-3</v>
      </c>
      <c r="G17" s="8">
        <v>43477</v>
      </c>
      <c r="H17" s="10">
        <f t="shared" ca="1" si="3"/>
        <v>5.179270905648211E-2</v>
      </c>
    </row>
    <row r="18" spans="2:8" hidden="1" x14ac:dyDescent="0.2">
      <c r="B18" s="8">
        <v>43478</v>
      </c>
      <c r="C18" s="9">
        <f t="shared" ca="1" si="0"/>
        <v>12176.276598286244</v>
      </c>
      <c r="D18" s="9">
        <f t="shared" ca="1" si="1"/>
        <v>17194.136358926473</v>
      </c>
      <c r="E18" s="10">
        <f t="shared" ca="1" si="2"/>
        <v>5.2577842140047182E-2</v>
      </c>
      <c r="G18" s="8">
        <v>43478</v>
      </c>
      <c r="H18" s="10">
        <f t="shared" ca="1" si="3"/>
        <v>1.8092540536469331E-2</v>
      </c>
    </row>
    <row r="19" spans="2:8" hidden="1" x14ac:dyDescent="0.2">
      <c r="B19" s="8">
        <v>43479</v>
      </c>
      <c r="C19" s="9">
        <f t="shared" ca="1" si="0"/>
        <v>12948.055456149592</v>
      </c>
      <c r="D19" s="9">
        <f t="shared" ca="1" si="1"/>
        <v>15998.570816375441</v>
      </c>
      <c r="E19" s="10">
        <f t="shared" ca="1" si="2"/>
        <v>0.19491774742746415</v>
      </c>
      <c r="G19" s="8">
        <v>43479</v>
      </c>
      <c r="H19" s="10">
        <f t="shared" ca="1" si="3"/>
        <v>1.6022479083391637E-2</v>
      </c>
    </row>
    <row r="20" spans="2:8" hidden="1" x14ac:dyDescent="0.2">
      <c r="B20" s="8">
        <v>43480</v>
      </c>
      <c r="C20" s="9">
        <f t="shared" ca="1" si="0"/>
        <v>13654.020437599465</v>
      </c>
      <c r="D20" s="9">
        <f t="shared" ca="1" si="1"/>
        <v>15515.310213004952</v>
      </c>
      <c r="E20" s="10">
        <f t="shared" ca="1" si="2"/>
        <v>8.4196916904338517E-2</v>
      </c>
      <c r="G20" s="8">
        <v>43480</v>
      </c>
      <c r="H20" s="10">
        <f t="shared" ca="1" si="3"/>
        <v>2.2630825764118883E-2</v>
      </c>
    </row>
    <row r="21" spans="2:8" hidden="1" x14ac:dyDescent="0.2">
      <c r="B21" s="8">
        <v>43481</v>
      </c>
      <c r="C21" s="9">
        <f t="shared" ca="1" si="0"/>
        <v>12908.327250852333</v>
      </c>
      <c r="D21" s="9">
        <f t="shared" ca="1" si="1"/>
        <v>10561.813084832516</v>
      </c>
      <c r="E21" s="10">
        <f t="shared" ca="1" si="2"/>
        <v>0.18611885975443279</v>
      </c>
      <c r="G21" s="8">
        <v>43481</v>
      </c>
      <c r="H21" s="10">
        <f t="shared" ca="1" si="3"/>
        <v>1.9522044743785123E-2</v>
      </c>
    </row>
    <row r="22" spans="2:8" hidden="1" x14ac:dyDescent="0.2">
      <c r="B22" s="8">
        <v>43482</v>
      </c>
      <c r="C22" s="9">
        <f t="shared" ca="1" si="0"/>
        <v>12079.002458036912</v>
      </c>
      <c r="D22" s="9">
        <f t="shared" ca="1" si="1"/>
        <v>15083.839262024958</v>
      </c>
      <c r="E22" s="10">
        <f t="shared" ca="1" si="2"/>
        <v>5.6923392543469772E-2</v>
      </c>
      <c r="G22" s="8">
        <v>43482</v>
      </c>
      <c r="H22" s="10">
        <f t="shared" ca="1" si="3"/>
        <v>2.1875951745081747E-2</v>
      </c>
    </row>
    <row r="23" spans="2:8" hidden="1" x14ac:dyDescent="0.2">
      <c r="B23" s="8">
        <v>43483</v>
      </c>
      <c r="C23" s="9">
        <f t="shared" ca="1" si="0"/>
        <v>10361.598000263211</v>
      </c>
      <c r="D23" s="9">
        <f t="shared" ca="1" si="1"/>
        <v>14219.699111967715</v>
      </c>
      <c r="E23" s="10">
        <f t="shared" ca="1" si="2"/>
        <v>2.6175736910083368E-2</v>
      </c>
      <c r="G23" s="8">
        <v>43483</v>
      </c>
      <c r="H23" s="10">
        <f t="shared" ca="1" si="3"/>
        <v>9.6286056886611994E-3</v>
      </c>
    </row>
    <row r="24" spans="2:8" hidden="1" x14ac:dyDescent="0.2">
      <c r="B24" s="8">
        <v>43484</v>
      </c>
      <c r="C24" s="9">
        <f t="shared" ca="1" si="0"/>
        <v>10446.324027729081</v>
      </c>
      <c r="D24" s="9">
        <f t="shared" ca="1" si="1"/>
        <v>12248.916963338776</v>
      </c>
      <c r="E24" s="10">
        <f t="shared" ca="1" si="2"/>
        <v>8.9091780649749097E-2</v>
      </c>
      <c r="G24" s="8">
        <v>43484</v>
      </c>
      <c r="H24" s="10">
        <f t="shared" ca="1" si="3"/>
        <v>2.8678230350028644E-2</v>
      </c>
    </row>
    <row r="25" spans="2:8" hidden="1" x14ac:dyDescent="0.2">
      <c r="B25" s="8">
        <v>43485</v>
      </c>
      <c r="C25" s="9">
        <f t="shared" ca="1" si="0"/>
        <v>17366.458987243012</v>
      </c>
      <c r="D25" s="9">
        <f t="shared" ca="1" si="1"/>
        <v>16233.307923795692</v>
      </c>
      <c r="E25" s="10">
        <f t="shared" ca="1" si="2"/>
        <v>0.17896552869100998</v>
      </c>
      <c r="G25" s="8">
        <v>43485</v>
      </c>
      <c r="H25" s="10">
        <f t="shared" ca="1" si="3"/>
        <v>4.7287252103775271E-4</v>
      </c>
    </row>
    <row r="26" spans="2:8" hidden="1" x14ac:dyDescent="0.2">
      <c r="B26" s="8">
        <v>43486</v>
      </c>
      <c r="C26" s="9">
        <f t="shared" ca="1" si="0"/>
        <v>12098.143606517227</v>
      </c>
      <c r="D26" s="9">
        <f t="shared" ca="1" si="1"/>
        <v>12339.254871406798</v>
      </c>
      <c r="E26" s="10">
        <f t="shared" ca="1" si="2"/>
        <v>0.15973253617701266</v>
      </c>
      <c r="G26" s="8">
        <v>43486</v>
      </c>
      <c r="H26" s="10">
        <f t="shared" ca="1" si="3"/>
        <v>2.911886050745955E-2</v>
      </c>
    </row>
    <row r="27" spans="2:8" hidden="1" x14ac:dyDescent="0.2">
      <c r="B27" s="8">
        <v>43487</v>
      </c>
      <c r="C27" s="9">
        <f t="shared" ca="1" si="0"/>
        <v>15091.113318816251</v>
      </c>
      <c r="D27" s="9">
        <f t="shared" ca="1" si="1"/>
        <v>12070.55903563975</v>
      </c>
      <c r="E27" s="10">
        <f t="shared" ca="1" si="2"/>
        <v>1.8621115783750141E-4</v>
      </c>
      <c r="G27" s="8">
        <v>43487</v>
      </c>
      <c r="H27" s="10">
        <f t="shared" ca="1" si="3"/>
        <v>5.2043677332064961E-3</v>
      </c>
    </row>
    <row r="28" spans="2:8" hidden="1" x14ac:dyDescent="0.2">
      <c r="B28" s="8">
        <v>43488</v>
      </c>
      <c r="C28" s="9">
        <f t="shared" ca="1" si="0"/>
        <v>16717.002665997708</v>
      </c>
      <c r="D28" s="9">
        <f t="shared" ca="1" si="1"/>
        <v>14815.350456391068</v>
      </c>
      <c r="E28" s="10">
        <f t="shared" ca="1" si="2"/>
        <v>5.5286956396000175E-2</v>
      </c>
      <c r="G28" s="8">
        <v>43488</v>
      </c>
      <c r="H28" s="10">
        <f t="shared" ca="1" si="3"/>
        <v>5.7361035258267096E-3</v>
      </c>
    </row>
    <row r="29" spans="2:8" hidden="1" x14ac:dyDescent="0.2">
      <c r="B29" s="8">
        <v>43489</v>
      </c>
      <c r="C29" s="9">
        <f t="shared" ca="1" si="0"/>
        <v>13649.118079803799</v>
      </c>
      <c r="D29" s="9">
        <f t="shared" ca="1" si="1"/>
        <v>15975.119533601135</v>
      </c>
      <c r="E29" s="10">
        <f t="shared" ca="1" si="2"/>
        <v>0.12520740732192737</v>
      </c>
      <c r="G29" s="8">
        <v>43489</v>
      </c>
      <c r="H29" s="10">
        <f t="shared" ca="1" si="3"/>
        <v>6.7182940762397211E-2</v>
      </c>
    </row>
    <row r="30" spans="2:8" hidden="1" x14ac:dyDescent="0.2">
      <c r="B30" s="8">
        <v>43490</v>
      </c>
      <c r="C30" s="9">
        <f t="shared" ca="1" si="0"/>
        <v>13573.635789475031</v>
      </c>
      <c r="D30" s="9">
        <f t="shared" ca="1" si="1"/>
        <v>16291.927888257731</v>
      </c>
      <c r="E30" s="10">
        <f t="shared" ca="1" si="2"/>
        <v>0.13052416317140592</v>
      </c>
      <c r="G30" s="8">
        <v>43490</v>
      </c>
      <c r="H30" s="10">
        <f t="shared" ca="1" si="3"/>
        <v>2.8172623350285347E-2</v>
      </c>
    </row>
    <row r="31" spans="2:8" hidden="1" x14ac:dyDescent="0.2">
      <c r="B31" s="8">
        <v>43491</v>
      </c>
      <c r="C31" s="9">
        <f t="shared" ca="1" si="0"/>
        <v>14570.61737975166</v>
      </c>
      <c r="D31" s="9">
        <f t="shared" ca="1" si="1"/>
        <v>11160.706698564582</v>
      </c>
      <c r="E31" s="10">
        <f t="shared" ca="1" si="2"/>
        <v>1.8619777378561929E-2</v>
      </c>
      <c r="G31" s="8">
        <v>43491</v>
      </c>
      <c r="H31" s="10">
        <f t="shared" ca="1" si="3"/>
        <v>6.8404929803089112E-2</v>
      </c>
    </row>
    <row r="32" spans="2:8" hidden="1" x14ac:dyDescent="0.2">
      <c r="B32" s="8">
        <v>43492</v>
      </c>
      <c r="C32" s="9">
        <f t="shared" ca="1" si="0"/>
        <v>10507.380596464991</v>
      </c>
      <c r="D32" s="9">
        <f t="shared" ca="1" si="1"/>
        <v>13164.086565585172</v>
      </c>
      <c r="E32" s="10">
        <f t="shared" ca="1" si="2"/>
        <v>1.4675122090581326E-2</v>
      </c>
      <c r="G32" s="8">
        <v>43492</v>
      </c>
      <c r="H32" s="10">
        <f t="shared" ca="1" si="3"/>
        <v>6.9233863947918958E-2</v>
      </c>
    </row>
    <row r="33" spans="2:8" hidden="1" x14ac:dyDescent="0.2">
      <c r="B33" s="8">
        <v>43493</v>
      </c>
      <c r="C33" s="9">
        <f t="shared" ca="1" si="0"/>
        <v>11038.393771635543</v>
      </c>
      <c r="D33" s="9">
        <f t="shared" ca="1" si="1"/>
        <v>12690.886405485875</v>
      </c>
      <c r="E33" s="10">
        <f t="shared" ca="1" si="2"/>
        <v>2.7135789093143237E-2</v>
      </c>
      <c r="G33" s="8">
        <v>43493</v>
      </c>
      <c r="H33" s="10">
        <f t="shared" ca="1" si="3"/>
        <v>6.637402288325612E-4</v>
      </c>
    </row>
    <row r="34" spans="2:8" hidden="1" x14ac:dyDescent="0.2">
      <c r="B34" s="8">
        <v>43494</v>
      </c>
      <c r="C34" s="9">
        <f t="shared" ca="1" si="0"/>
        <v>13006.3856790713</v>
      </c>
      <c r="D34" s="9">
        <f t="shared" ca="1" si="1"/>
        <v>16243.052668372247</v>
      </c>
      <c r="E34" s="10">
        <f t="shared" ca="1" si="2"/>
        <v>0.14865412219793309</v>
      </c>
      <c r="G34" s="8">
        <v>43494</v>
      </c>
      <c r="H34" s="10">
        <f t="shared" ca="1" si="3"/>
        <v>1.3618260397669724E-2</v>
      </c>
    </row>
    <row r="35" spans="2:8" hidden="1" x14ac:dyDescent="0.2">
      <c r="B35" s="8">
        <v>43495</v>
      </c>
      <c r="C35" s="9">
        <f t="shared" ca="1" si="0"/>
        <v>12242.113377136371</v>
      </c>
      <c r="D35" s="9">
        <f t="shared" ca="1" si="1"/>
        <v>15091.30273643832</v>
      </c>
      <c r="E35" s="10">
        <f t="shared" ca="1" si="2"/>
        <v>0.12474457167562442</v>
      </c>
      <c r="G35" s="8">
        <v>43495</v>
      </c>
      <c r="H35" s="10">
        <f t="shared" ca="1" si="3"/>
        <v>2.491363125171038E-2</v>
      </c>
    </row>
    <row r="36" spans="2:8" hidden="1" x14ac:dyDescent="0.2">
      <c r="B36" s="8">
        <v>43496</v>
      </c>
      <c r="C36" s="9">
        <f t="shared" ca="1" si="0"/>
        <v>11807.331881129476</v>
      </c>
      <c r="D36" s="9">
        <f t="shared" ca="1" si="1"/>
        <v>12705.247340379376</v>
      </c>
      <c r="E36" s="10">
        <f t="shared" ca="1" si="2"/>
        <v>0.17564734178042554</v>
      </c>
      <c r="G36" s="8">
        <v>43496</v>
      </c>
      <c r="H36" s="10">
        <f t="shared" ca="1" si="3"/>
        <v>2.5040767601540227E-3</v>
      </c>
    </row>
    <row r="37" spans="2:8" hidden="1" x14ac:dyDescent="0.2">
      <c r="B37" s="8">
        <v>43497</v>
      </c>
      <c r="C37" s="9">
        <f t="shared" ca="1" si="0"/>
        <v>17087.621362984311</v>
      </c>
      <c r="D37" s="9">
        <f t="shared" ca="1" si="1"/>
        <v>12160.358821136795</v>
      </c>
      <c r="E37" s="10">
        <f t="shared" ca="1" si="2"/>
        <v>7.5256863567820659E-2</v>
      </c>
      <c r="G37" s="8">
        <v>43497</v>
      </c>
      <c r="H37" s="10">
        <f t="shared" ca="1" si="3"/>
        <v>5.5615233719200886E-2</v>
      </c>
    </row>
    <row r="38" spans="2:8" hidden="1" x14ac:dyDescent="0.2">
      <c r="B38" s="8">
        <v>43498</v>
      </c>
      <c r="C38" s="9">
        <f t="shared" ca="1" si="0"/>
        <v>17242.472071628014</v>
      </c>
      <c r="D38" s="9">
        <f t="shared" ca="1" si="1"/>
        <v>14810.300708157165</v>
      </c>
      <c r="E38" s="10">
        <f t="shared" ca="1" si="2"/>
        <v>3.1861604605498695E-5</v>
      </c>
      <c r="G38" s="8">
        <v>43498</v>
      </c>
      <c r="H38" s="10">
        <f t="shared" ca="1" si="3"/>
        <v>4.9363281964698632E-3</v>
      </c>
    </row>
    <row r="39" spans="2:8" hidden="1" x14ac:dyDescent="0.2">
      <c r="B39" s="8">
        <v>43499</v>
      </c>
      <c r="C39" s="9">
        <f t="shared" ca="1" si="0"/>
        <v>13346.902074215672</v>
      </c>
      <c r="D39" s="9">
        <f t="shared" ca="1" si="1"/>
        <v>11629.413963179592</v>
      </c>
      <c r="E39" s="10">
        <f t="shared" ca="1" si="2"/>
        <v>0.15837250941624553</v>
      </c>
      <c r="G39" s="8">
        <v>43499</v>
      </c>
      <c r="H39" s="10">
        <f t="shared" ca="1" si="3"/>
        <v>6.4233561250132604E-2</v>
      </c>
    </row>
    <row r="40" spans="2:8" hidden="1" x14ac:dyDescent="0.2">
      <c r="B40" s="8">
        <v>43500</v>
      </c>
      <c r="C40" s="9">
        <f t="shared" ca="1" si="0"/>
        <v>14612.255487352908</v>
      </c>
      <c r="D40" s="9">
        <f t="shared" ca="1" si="1"/>
        <v>16296.61261850516</v>
      </c>
      <c r="E40" s="10">
        <f t="shared" ca="1" si="2"/>
        <v>0.26653854762511736</v>
      </c>
      <c r="G40" s="8">
        <v>43500</v>
      </c>
      <c r="H40" s="10">
        <f t="shared" ca="1" si="3"/>
        <v>1.0046701537409731E-3</v>
      </c>
    </row>
    <row r="41" spans="2:8" hidden="1" x14ac:dyDescent="0.2">
      <c r="B41" s="8">
        <v>43501</v>
      </c>
      <c r="C41" s="9">
        <f t="shared" ca="1" si="0"/>
        <v>17885.873757206013</v>
      </c>
      <c r="D41" s="9">
        <f t="shared" ca="1" si="1"/>
        <v>14744.165367982765</v>
      </c>
      <c r="E41" s="10">
        <f t="shared" ca="1" si="2"/>
        <v>0.17349758612858296</v>
      </c>
      <c r="G41" s="8">
        <v>43501</v>
      </c>
      <c r="H41" s="10">
        <f t="shared" ca="1" si="3"/>
        <v>3.2519232599304455E-2</v>
      </c>
    </row>
    <row r="42" spans="2:8" hidden="1" x14ac:dyDescent="0.2">
      <c r="B42" s="8">
        <v>43502</v>
      </c>
      <c r="C42" s="9">
        <f t="shared" ca="1" si="0"/>
        <v>10919.502203277971</v>
      </c>
      <c r="D42" s="9">
        <f t="shared" ca="1" si="1"/>
        <v>17937.335786583997</v>
      </c>
      <c r="E42" s="10">
        <f t="shared" ca="1" si="2"/>
        <v>4.9070564263404955E-2</v>
      </c>
      <c r="G42" s="8">
        <v>43502</v>
      </c>
      <c r="H42" s="10">
        <f t="shared" ca="1" si="3"/>
        <v>3.7910480488943521E-2</v>
      </c>
    </row>
    <row r="43" spans="2:8" hidden="1" x14ac:dyDescent="0.2">
      <c r="B43" s="8">
        <v>43503</v>
      </c>
      <c r="C43" s="9">
        <f t="shared" ca="1" si="0"/>
        <v>11596.519486175277</v>
      </c>
      <c r="D43" s="9">
        <f t="shared" ca="1" si="1"/>
        <v>11694.572577773337</v>
      </c>
      <c r="E43" s="10">
        <f t="shared" ca="1" si="2"/>
        <v>0.26801691376258607</v>
      </c>
      <c r="G43" s="8">
        <v>43503</v>
      </c>
      <c r="H43" s="10">
        <f t="shared" ca="1" si="3"/>
        <v>2.3242965574392697E-2</v>
      </c>
    </row>
    <row r="44" spans="2:8" hidden="1" x14ac:dyDescent="0.2">
      <c r="B44" s="8">
        <v>43504</v>
      </c>
      <c r="C44" s="9">
        <f t="shared" ca="1" si="0"/>
        <v>13924.164296288527</v>
      </c>
      <c r="D44" s="9">
        <f t="shared" ca="1" si="1"/>
        <v>15053.721329706841</v>
      </c>
      <c r="E44" s="10">
        <f t="shared" ca="1" si="2"/>
        <v>5.2202573392269226E-2</v>
      </c>
      <c r="G44" s="8">
        <v>43504</v>
      </c>
      <c r="H44" s="10">
        <f t="shared" ca="1" si="3"/>
        <v>5.5521907377998184E-2</v>
      </c>
    </row>
    <row r="45" spans="2:8" hidden="1" x14ac:dyDescent="0.2">
      <c r="B45" s="8">
        <v>43505</v>
      </c>
      <c r="C45" s="9">
        <f t="shared" ca="1" si="0"/>
        <v>15467.247357978045</v>
      </c>
      <c r="D45" s="9">
        <f t="shared" ca="1" si="1"/>
        <v>13565.587523465971</v>
      </c>
      <c r="E45" s="10">
        <f t="shared" ca="1" si="2"/>
        <v>0.25895189799183771</v>
      </c>
      <c r="G45" s="8">
        <v>43505</v>
      </c>
      <c r="H45" s="10">
        <f t="shared" ca="1" si="3"/>
        <v>5.2949347229018139E-2</v>
      </c>
    </row>
    <row r="46" spans="2:8" hidden="1" x14ac:dyDescent="0.2">
      <c r="B46" s="8">
        <v>43506</v>
      </c>
      <c r="C46" s="9">
        <f t="shared" ca="1" si="0"/>
        <v>12659.594873073807</v>
      </c>
      <c r="D46" s="9">
        <f t="shared" ca="1" si="1"/>
        <v>15674.919842507206</v>
      </c>
      <c r="E46" s="10">
        <f t="shared" ca="1" si="2"/>
        <v>0.11545248492383008</v>
      </c>
      <c r="G46" s="8">
        <v>43506</v>
      </c>
      <c r="H46" s="10">
        <f t="shared" ca="1" si="3"/>
        <v>3.9857771049769508E-2</v>
      </c>
    </row>
    <row r="47" spans="2:8" hidden="1" x14ac:dyDescent="0.2">
      <c r="B47" s="8">
        <v>43507</v>
      </c>
      <c r="C47" s="9">
        <f t="shared" ca="1" si="0"/>
        <v>12445.522903064793</v>
      </c>
      <c r="D47" s="9">
        <f t="shared" ca="1" si="1"/>
        <v>13839.33818747393</v>
      </c>
      <c r="E47" s="10">
        <f t="shared" ca="1" si="2"/>
        <v>0.23919108750542484</v>
      </c>
      <c r="G47" s="8">
        <v>43507</v>
      </c>
      <c r="H47" s="10">
        <f t="shared" ca="1" si="3"/>
        <v>1.9878694585492514E-2</v>
      </c>
    </row>
    <row r="48" spans="2:8" hidden="1" x14ac:dyDescent="0.2">
      <c r="B48" s="8">
        <v>43508</v>
      </c>
      <c r="C48" s="9">
        <f t="shared" ca="1" si="0"/>
        <v>13352.548043987328</v>
      </c>
      <c r="D48" s="9">
        <f t="shared" ca="1" si="1"/>
        <v>13743.73600719995</v>
      </c>
      <c r="E48" s="10">
        <f t="shared" ca="1" si="2"/>
        <v>0.26363830965528012</v>
      </c>
      <c r="G48" s="8">
        <v>43508</v>
      </c>
      <c r="H48" s="10">
        <f t="shared" ca="1" si="3"/>
        <v>2.6642693389869302E-2</v>
      </c>
    </row>
    <row r="49" spans="2:8" hidden="1" x14ac:dyDescent="0.2">
      <c r="B49" s="8">
        <v>43509</v>
      </c>
      <c r="C49" s="9">
        <f t="shared" ca="1" si="0"/>
        <v>14897.367543609847</v>
      </c>
      <c r="D49" s="9">
        <f t="shared" ca="1" si="1"/>
        <v>16918.228596060984</v>
      </c>
      <c r="E49" s="10">
        <f t="shared" ca="1" si="2"/>
        <v>0.23548757856551716</v>
      </c>
      <c r="G49" s="8">
        <v>43509</v>
      </c>
      <c r="H49" s="10">
        <f t="shared" ca="1" si="3"/>
        <v>5.1126365003237959E-2</v>
      </c>
    </row>
    <row r="50" spans="2:8" hidden="1" x14ac:dyDescent="0.2">
      <c r="B50" s="8">
        <v>43510</v>
      </c>
      <c r="C50" s="9">
        <f t="shared" ca="1" si="0"/>
        <v>15366.5717080715</v>
      </c>
      <c r="D50" s="9">
        <f t="shared" ca="1" si="1"/>
        <v>13998.686024730509</v>
      </c>
      <c r="E50" s="10">
        <f t="shared" ca="1" si="2"/>
        <v>4.6318064269905812E-2</v>
      </c>
      <c r="G50" s="8">
        <v>43510</v>
      </c>
      <c r="H50" s="10">
        <f t="shared" ca="1" si="3"/>
        <v>1.1331269601742359E-2</v>
      </c>
    </row>
    <row r="51" spans="2:8" hidden="1" x14ac:dyDescent="0.2">
      <c r="B51" s="8">
        <v>43511</v>
      </c>
      <c r="C51" s="9">
        <f t="shared" ca="1" si="0"/>
        <v>12117.991104491888</v>
      </c>
      <c r="D51" s="9">
        <f t="shared" ca="1" si="1"/>
        <v>15285.947095195806</v>
      </c>
      <c r="E51" s="10">
        <f t="shared" ca="1" si="2"/>
        <v>4.7725669161128546E-2</v>
      </c>
      <c r="G51" s="8">
        <v>43511</v>
      </c>
      <c r="H51" s="10">
        <f t="shared" ca="1" si="3"/>
        <v>4.3573628757473504E-2</v>
      </c>
    </row>
    <row r="52" spans="2:8" hidden="1" x14ac:dyDescent="0.2">
      <c r="B52" s="8">
        <v>43512</v>
      </c>
      <c r="C52" s="9">
        <f t="shared" ca="1" si="0"/>
        <v>12396.871935778763</v>
      </c>
      <c r="D52" s="9">
        <f t="shared" ca="1" si="1"/>
        <v>16488.744613665833</v>
      </c>
      <c r="E52" s="10">
        <f t="shared" ca="1" si="2"/>
        <v>6.1112540045265449E-3</v>
      </c>
      <c r="G52" s="8">
        <v>43512</v>
      </c>
      <c r="H52" s="10">
        <f t="shared" ca="1" si="3"/>
        <v>7.0893875218722138E-3</v>
      </c>
    </row>
    <row r="53" spans="2:8" hidden="1" x14ac:dyDescent="0.2">
      <c r="B53" s="8">
        <v>43513</v>
      </c>
      <c r="C53" s="9">
        <f t="shared" ca="1" si="0"/>
        <v>12519.766512125498</v>
      </c>
      <c r="D53" s="9">
        <f t="shared" ca="1" si="1"/>
        <v>16591.558026334453</v>
      </c>
      <c r="E53" s="10">
        <f t="shared" ca="1" si="2"/>
        <v>0.11175575577825046</v>
      </c>
      <c r="G53" s="8">
        <v>43513</v>
      </c>
      <c r="H53" s="10">
        <f t="shared" ca="1" si="3"/>
        <v>4.0973652891854694E-2</v>
      </c>
    </row>
    <row r="54" spans="2:8" hidden="1" x14ac:dyDescent="0.2">
      <c r="B54" s="8">
        <v>43514</v>
      </c>
      <c r="C54" s="9">
        <f t="shared" ca="1" si="0"/>
        <v>10387.454345569147</v>
      </c>
      <c r="D54" s="9">
        <f t="shared" ca="1" si="1"/>
        <v>14660.250587860501</v>
      </c>
      <c r="E54" s="10">
        <f t="shared" ca="1" si="2"/>
        <v>0.2781059066330982</v>
      </c>
      <c r="G54" s="8">
        <v>43514</v>
      </c>
      <c r="H54" s="10">
        <f t="shared" ca="1" si="3"/>
        <v>6.7761293011203471E-3</v>
      </c>
    </row>
    <row r="55" spans="2:8" hidden="1" x14ac:dyDescent="0.2">
      <c r="B55" s="8">
        <v>43515</v>
      </c>
      <c r="C55" s="9">
        <f t="shared" ca="1" si="0"/>
        <v>14554.823627947559</v>
      </c>
      <c r="D55" s="9">
        <f t="shared" ca="1" si="1"/>
        <v>13880.511587766081</v>
      </c>
      <c r="E55" s="10">
        <f t="shared" ca="1" si="2"/>
        <v>8.7787481170215204E-2</v>
      </c>
      <c r="G55" s="8">
        <v>43515</v>
      </c>
      <c r="H55" s="10">
        <f t="shared" ca="1" si="3"/>
        <v>6.7303611819447218E-2</v>
      </c>
    </row>
    <row r="56" spans="2:8" hidden="1" x14ac:dyDescent="0.2">
      <c r="B56" s="8">
        <v>43516</v>
      </c>
      <c r="C56" s="9">
        <f t="shared" ca="1" si="0"/>
        <v>13400.704768787633</v>
      </c>
      <c r="D56" s="9">
        <f t="shared" ca="1" si="1"/>
        <v>10519.893573767773</v>
      </c>
      <c r="E56" s="10">
        <f t="shared" ca="1" si="2"/>
        <v>0.1673328191417916</v>
      </c>
      <c r="G56" s="8">
        <v>43516</v>
      </c>
      <c r="H56" s="10">
        <f t="shared" ca="1" si="3"/>
        <v>3.5903385009175337E-2</v>
      </c>
    </row>
    <row r="57" spans="2:8" hidden="1" x14ac:dyDescent="0.2">
      <c r="B57" s="8">
        <v>43517</v>
      </c>
      <c r="C57" s="9">
        <f t="shared" ca="1" si="0"/>
        <v>14203.035019995368</v>
      </c>
      <c r="D57" s="9">
        <f t="shared" ca="1" si="1"/>
        <v>10806.763877477821</v>
      </c>
      <c r="E57" s="10">
        <f t="shared" ca="1" si="2"/>
        <v>7.3654421872811791E-3</v>
      </c>
      <c r="G57" s="8">
        <v>43517</v>
      </c>
      <c r="H57" s="10">
        <f t="shared" ca="1" si="3"/>
        <v>1.9373886004467208E-2</v>
      </c>
    </row>
    <row r="58" spans="2:8" hidden="1" x14ac:dyDescent="0.2">
      <c r="B58" s="8">
        <v>43518</v>
      </c>
      <c r="C58" s="9">
        <f t="shared" ca="1" si="0"/>
        <v>14176.176437563281</v>
      </c>
      <c r="D58" s="9">
        <f t="shared" ca="1" si="1"/>
        <v>15766.031531738719</v>
      </c>
      <c r="E58" s="10">
        <f t="shared" ca="1" si="2"/>
        <v>5.138440166986976E-2</v>
      </c>
      <c r="G58" s="8">
        <v>43518</v>
      </c>
      <c r="H58" s="10">
        <f t="shared" ca="1" si="3"/>
        <v>1.2678891190575253E-2</v>
      </c>
    </row>
    <row r="59" spans="2:8" hidden="1" x14ac:dyDescent="0.2">
      <c r="B59" s="8">
        <v>43519</v>
      </c>
      <c r="C59" s="9">
        <f t="shared" ca="1" si="0"/>
        <v>17554.255976816741</v>
      </c>
      <c r="D59" s="9">
        <f t="shared" ca="1" si="1"/>
        <v>14277.14677074704</v>
      </c>
      <c r="E59" s="10">
        <f t="shared" ca="1" si="2"/>
        <v>0.24024397245366139</v>
      </c>
      <c r="G59" s="8">
        <v>43519</v>
      </c>
      <c r="H59" s="10">
        <f t="shared" ca="1" si="3"/>
        <v>2.1274007674396252E-2</v>
      </c>
    </row>
    <row r="60" spans="2:8" hidden="1" x14ac:dyDescent="0.2">
      <c r="B60" s="8">
        <v>43520</v>
      </c>
      <c r="C60" s="9">
        <f t="shared" ca="1" si="0"/>
        <v>12798.91833797827</v>
      </c>
      <c r="D60" s="9">
        <f t="shared" ca="1" si="1"/>
        <v>11277.887331852207</v>
      </c>
      <c r="E60" s="10">
        <f t="shared" ca="1" si="2"/>
        <v>0.25830467884382086</v>
      </c>
      <c r="G60" s="8">
        <v>43520</v>
      </c>
      <c r="H60" s="10">
        <f t="shared" ca="1" si="3"/>
        <v>6.9415894668424336E-2</v>
      </c>
    </row>
    <row r="61" spans="2:8" hidden="1" x14ac:dyDescent="0.2">
      <c r="B61" s="8">
        <v>43521</v>
      </c>
      <c r="C61" s="9">
        <f t="shared" ca="1" si="0"/>
        <v>15968.783984316306</v>
      </c>
      <c r="D61" s="9">
        <f t="shared" ca="1" si="1"/>
        <v>16968.011207350799</v>
      </c>
      <c r="E61" s="10">
        <f t="shared" ca="1" si="2"/>
        <v>0.2677932210991143</v>
      </c>
      <c r="G61" s="8">
        <v>43521</v>
      </c>
      <c r="H61" s="10">
        <f t="shared" ca="1" si="3"/>
        <v>5.0494902205722836E-2</v>
      </c>
    </row>
    <row r="62" spans="2:8" hidden="1" x14ac:dyDescent="0.2">
      <c r="B62" s="8">
        <v>43522</v>
      </c>
      <c r="C62" s="9">
        <f t="shared" ca="1" si="0"/>
        <v>13415.339481523062</v>
      </c>
      <c r="D62" s="9">
        <f t="shared" ca="1" si="1"/>
        <v>14516.189684210447</v>
      </c>
      <c r="E62" s="10">
        <f t="shared" ca="1" si="2"/>
        <v>0.20623123692814618</v>
      </c>
      <c r="G62" s="8">
        <v>43522</v>
      </c>
      <c r="H62" s="10">
        <f t="shared" ca="1" si="3"/>
        <v>6.5912332870186149E-2</v>
      </c>
    </row>
    <row r="63" spans="2:8" hidden="1" x14ac:dyDescent="0.2">
      <c r="B63" s="8">
        <v>43523</v>
      </c>
      <c r="C63" s="9">
        <f t="shared" ca="1" si="0"/>
        <v>10477.716221906487</v>
      </c>
      <c r="D63" s="9">
        <f t="shared" ca="1" si="1"/>
        <v>12460.336735435903</v>
      </c>
      <c r="E63" s="10">
        <f t="shared" ca="1" si="2"/>
        <v>0.21025938602708585</v>
      </c>
      <c r="G63" s="8">
        <v>43523</v>
      </c>
      <c r="H63" s="10">
        <f t="shared" ca="1" si="3"/>
        <v>1.2594914688724921E-2</v>
      </c>
    </row>
    <row r="64" spans="2:8" hidden="1" x14ac:dyDescent="0.2">
      <c r="B64" s="8">
        <v>43524</v>
      </c>
      <c r="C64" s="9">
        <f t="shared" ca="1" si="0"/>
        <v>10279.45300039058</v>
      </c>
      <c r="D64" s="9">
        <f t="shared" ca="1" si="1"/>
        <v>17314.319066245545</v>
      </c>
      <c r="E64" s="10">
        <f t="shared" ca="1" si="2"/>
        <v>0.28846099950282394</v>
      </c>
      <c r="G64" s="8">
        <v>43524</v>
      </c>
      <c r="H64" s="10">
        <f t="shared" ca="1" si="3"/>
        <v>6.3402613891858264E-2</v>
      </c>
    </row>
    <row r="65" spans="2:8" hidden="1" x14ac:dyDescent="0.2">
      <c r="B65" s="8">
        <v>43525</v>
      </c>
      <c r="C65" s="9">
        <f t="shared" ca="1" si="0"/>
        <v>14902.956441513135</v>
      </c>
      <c r="D65" s="9">
        <f t="shared" ca="1" si="1"/>
        <v>10671.022768996245</v>
      </c>
      <c r="E65" s="10">
        <f t="shared" ca="1" si="2"/>
        <v>0.24379859741701659</v>
      </c>
      <c r="G65" s="8">
        <v>43525</v>
      </c>
      <c r="H65" s="10">
        <f t="shared" ca="1" si="3"/>
        <v>4.6110026851883396E-2</v>
      </c>
    </row>
    <row r="66" spans="2:8" hidden="1" x14ac:dyDescent="0.2">
      <c r="B66" s="8">
        <v>43526</v>
      </c>
      <c r="C66" s="9">
        <f t="shared" ca="1" si="0"/>
        <v>13154.086699303867</v>
      </c>
      <c r="D66" s="9">
        <f t="shared" ca="1" si="1"/>
        <v>15284.64138126736</v>
      </c>
      <c r="E66" s="10">
        <f t="shared" ca="1" si="2"/>
        <v>0.23932019113332514</v>
      </c>
      <c r="G66" s="8">
        <v>43526</v>
      </c>
      <c r="H66" s="10">
        <f t="shared" ca="1" si="3"/>
        <v>1.082050968498055E-2</v>
      </c>
    </row>
    <row r="67" spans="2:8" hidden="1" x14ac:dyDescent="0.2">
      <c r="B67" s="8">
        <v>43527</v>
      </c>
      <c r="C67" s="9">
        <f t="shared" ca="1" si="0"/>
        <v>17458.658511956462</v>
      </c>
      <c r="D67" s="9">
        <f t="shared" ca="1" si="1"/>
        <v>10658.751955497826</v>
      </c>
      <c r="E67" s="10">
        <f t="shared" ca="1" si="2"/>
        <v>4.3256996841582782E-2</v>
      </c>
      <c r="G67" s="8">
        <v>43527</v>
      </c>
      <c r="H67" s="10">
        <f t="shared" ca="1" si="3"/>
        <v>4.6003660570218242E-2</v>
      </c>
    </row>
    <row r="68" spans="2:8" hidden="1" x14ac:dyDescent="0.2">
      <c r="B68" s="8">
        <v>43528</v>
      </c>
      <c r="C68" s="9">
        <f t="shared" ca="1" si="0"/>
        <v>12213.190582488036</v>
      </c>
      <c r="D68" s="9">
        <f t="shared" ca="1" si="1"/>
        <v>11043.859805782369</v>
      </c>
      <c r="E68" s="10">
        <f t="shared" ca="1" si="2"/>
        <v>0.23641009032742105</v>
      </c>
      <c r="G68" s="8">
        <v>43528</v>
      </c>
      <c r="H68" s="10">
        <f t="shared" ca="1" si="3"/>
        <v>6.794430861258921E-2</v>
      </c>
    </row>
    <row r="69" spans="2:8" hidden="1" x14ac:dyDescent="0.2">
      <c r="B69" s="8">
        <v>43529</v>
      </c>
      <c r="C69" s="9">
        <f t="shared" ca="1" si="0"/>
        <v>10782.559224936665</v>
      </c>
      <c r="D69" s="9">
        <f t="shared" ca="1" si="1"/>
        <v>11646.47134443804</v>
      </c>
      <c r="E69" s="10">
        <f t="shared" ca="1" si="2"/>
        <v>3.0504963576631315E-2</v>
      </c>
      <c r="G69" s="8">
        <v>43529</v>
      </c>
      <c r="H69" s="10">
        <f t="shared" ca="1" si="3"/>
        <v>3.8517642405554088E-2</v>
      </c>
    </row>
    <row r="70" spans="2:8" hidden="1" x14ac:dyDescent="0.2">
      <c r="B70" s="8">
        <v>43530</v>
      </c>
      <c r="C70" s="9">
        <f t="shared" ca="1" si="0"/>
        <v>17121.686284450851</v>
      </c>
      <c r="D70" s="9">
        <f t="shared" ca="1" si="1"/>
        <v>17230.475469552934</v>
      </c>
      <c r="E70" s="10">
        <f t="shared" ca="1" si="2"/>
        <v>0.23645417160518634</v>
      </c>
      <c r="G70" s="8">
        <v>43530</v>
      </c>
      <c r="H70" s="10">
        <f t="shared" ca="1" si="3"/>
        <v>3.9541632432105039E-2</v>
      </c>
    </row>
    <row r="71" spans="2:8" hidden="1" x14ac:dyDescent="0.2">
      <c r="B71" s="8">
        <v>43531</v>
      </c>
      <c r="C71" s="9">
        <f t="shared" ref="C71:C134" ca="1" si="4">RAND()*(18000-10000)+10000</f>
        <v>16607.175080011431</v>
      </c>
      <c r="D71" s="9">
        <f t="shared" ref="D71:D134" ca="1" si="5">RAND()*(18000-10000)+10000</f>
        <v>11923.294369333378</v>
      </c>
      <c r="E71" s="10">
        <f t="shared" ref="E71:E134" ca="1" si="6">RAND()*(30%-0%)+0%</f>
        <v>0.10183476266277523</v>
      </c>
      <c r="G71" s="8">
        <v>43531</v>
      </c>
      <c r="H71" s="10">
        <f t="shared" ref="H71:H134" ca="1" si="7">RAND()*(7%-0%)+0%</f>
        <v>9.0444823661716169E-3</v>
      </c>
    </row>
    <row r="72" spans="2:8" hidden="1" x14ac:dyDescent="0.2">
      <c r="B72" s="8">
        <v>43532</v>
      </c>
      <c r="C72" s="9">
        <f t="shared" ca="1" si="4"/>
        <v>12862.08308944969</v>
      </c>
      <c r="D72" s="9">
        <f t="shared" ca="1" si="5"/>
        <v>14317.636424650807</v>
      </c>
      <c r="E72" s="10">
        <f t="shared" ca="1" si="6"/>
        <v>0.16758215330102422</v>
      </c>
      <c r="G72" s="8">
        <v>43532</v>
      </c>
      <c r="H72" s="10">
        <f t="shared" ca="1" si="7"/>
        <v>2.1361689294102586E-2</v>
      </c>
    </row>
    <row r="73" spans="2:8" hidden="1" x14ac:dyDescent="0.2">
      <c r="B73" s="8">
        <v>43533</v>
      </c>
      <c r="C73" s="9">
        <f t="shared" ca="1" si="4"/>
        <v>10149.806019244099</v>
      </c>
      <c r="D73" s="9">
        <f t="shared" ca="1" si="5"/>
        <v>17430.730154657569</v>
      </c>
      <c r="E73" s="10">
        <f t="shared" ca="1" si="6"/>
        <v>7.5239250126835536E-2</v>
      </c>
      <c r="G73" s="8">
        <v>43533</v>
      </c>
      <c r="H73" s="10">
        <f t="shared" ca="1" si="7"/>
        <v>5.6963045433820962E-2</v>
      </c>
    </row>
    <row r="74" spans="2:8" hidden="1" x14ac:dyDescent="0.2">
      <c r="B74" s="8">
        <v>43534</v>
      </c>
      <c r="C74" s="9">
        <f t="shared" ca="1" si="4"/>
        <v>16106.880660924977</v>
      </c>
      <c r="D74" s="9">
        <f t="shared" ca="1" si="5"/>
        <v>16894.237857016698</v>
      </c>
      <c r="E74" s="10">
        <f t="shared" ca="1" si="6"/>
        <v>8.735859515473858E-2</v>
      </c>
      <c r="G74" s="8">
        <v>43534</v>
      </c>
      <c r="H74" s="10">
        <f t="shared" ca="1" si="7"/>
        <v>5.6118364289086342E-2</v>
      </c>
    </row>
    <row r="75" spans="2:8" hidden="1" x14ac:dyDescent="0.2">
      <c r="B75" s="8">
        <v>43535</v>
      </c>
      <c r="C75" s="9">
        <f t="shared" ca="1" si="4"/>
        <v>10092.630381347064</v>
      </c>
      <c r="D75" s="9">
        <f t="shared" ca="1" si="5"/>
        <v>15373.570700297041</v>
      </c>
      <c r="E75" s="10">
        <f t="shared" ca="1" si="6"/>
        <v>2.4112789802783495E-2</v>
      </c>
      <c r="G75" s="8">
        <v>43535</v>
      </c>
      <c r="H75" s="10">
        <f t="shared" ca="1" si="7"/>
        <v>1.205620346001704E-2</v>
      </c>
    </row>
    <row r="76" spans="2:8" hidden="1" x14ac:dyDescent="0.2">
      <c r="B76" s="8">
        <v>43536</v>
      </c>
      <c r="C76" s="9">
        <f t="shared" ca="1" si="4"/>
        <v>11210.85743954879</v>
      </c>
      <c r="D76" s="9">
        <f t="shared" ca="1" si="5"/>
        <v>14934.006553815714</v>
      </c>
      <c r="E76" s="10">
        <f t="shared" ca="1" si="6"/>
        <v>0.18518975530751827</v>
      </c>
      <c r="G76" s="8">
        <v>43536</v>
      </c>
      <c r="H76" s="10">
        <f t="shared" ca="1" si="7"/>
        <v>1.5562301454764588E-2</v>
      </c>
    </row>
    <row r="77" spans="2:8" hidden="1" x14ac:dyDescent="0.2">
      <c r="B77" s="8">
        <v>43537</v>
      </c>
      <c r="C77" s="9">
        <f t="shared" ca="1" si="4"/>
        <v>11609.866212361312</v>
      </c>
      <c r="D77" s="9">
        <f t="shared" ca="1" si="5"/>
        <v>10997.657160112669</v>
      </c>
      <c r="E77" s="10">
        <f t="shared" ca="1" si="6"/>
        <v>8.0600661333469228E-2</v>
      </c>
      <c r="G77" s="8">
        <v>43537</v>
      </c>
      <c r="H77" s="10">
        <f t="shared" ca="1" si="7"/>
        <v>2.4653520390653185E-2</v>
      </c>
    </row>
    <row r="78" spans="2:8" hidden="1" x14ac:dyDescent="0.2">
      <c r="B78" s="8">
        <v>43538</v>
      </c>
      <c r="C78" s="9">
        <f t="shared" ca="1" si="4"/>
        <v>12022.176697233706</v>
      </c>
      <c r="D78" s="9">
        <f t="shared" ca="1" si="5"/>
        <v>10512.227582299189</v>
      </c>
      <c r="E78" s="10">
        <f t="shared" ca="1" si="6"/>
        <v>3.0588733287830936E-2</v>
      </c>
      <c r="G78" s="8">
        <v>43538</v>
      </c>
      <c r="H78" s="10">
        <f t="shared" ca="1" si="7"/>
        <v>5.3441677113276402E-2</v>
      </c>
    </row>
    <row r="79" spans="2:8" hidden="1" x14ac:dyDescent="0.2">
      <c r="B79" s="8">
        <v>43539</v>
      </c>
      <c r="C79" s="9">
        <f t="shared" ca="1" si="4"/>
        <v>16204.89126269292</v>
      </c>
      <c r="D79" s="9">
        <f t="shared" ca="1" si="5"/>
        <v>16243.217717010044</v>
      </c>
      <c r="E79" s="10">
        <f t="shared" ca="1" si="6"/>
        <v>7.3677534591878827E-2</v>
      </c>
      <c r="G79" s="8">
        <v>43539</v>
      </c>
      <c r="H79" s="10">
        <f t="shared" ca="1" si="7"/>
        <v>5.9885926485931731E-2</v>
      </c>
    </row>
    <row r="80" spans="2:8" hidden="1" x14ac:dyDescent="0.2">
      <c r="B80" s="8">
        <v>43540</v>
      </c>
      <c r="C80" s="9">
        <f t="shared" ca="1" si="4"/>
        <v>15222.297638955653</v>
      </c>
      <c r="D80" s="9">
        <f t="shared" ca="1" si="5"/>
        <v>12277.373277637162</v>
      </c>
      <c r="E80" s="10">
        <f t="shared" ca="1" si="6"/>
        <v>8.9945143873014957E-2</v>
      </c>
      <c r="G80" s="8">
        <v>43540</v>
      </c>
      <c r="H80" s="10">
        <f t="shared" ca="1" si="7"/>
        <v>5.3937305616187929E-4</v>
      </c>
    </row>
    <row r="81" spans="2:8" hidden="1" x14ac:dyDescent="0.2">
      <c r="B81" s="8">
        <v>43541</v>
      </c>
      <c r="C81" s="9">
        <f t="shared" ca="1" si="4"/>
        <v>12605.967944680684</v>
      </c>
      <c r="D81" s="9">
        <f t="shared" ca="1" si="5"/>
        <v>13266.740579036361</v>
      </c>
      <c r="E81" s="10">
        <f t="shared" ca="1" si="6"/>
        <v>0.18656521520064209</v>
      </c>
      <c r="G81" s="8">
        <v>43541</v>
      </c>
      <c r="H81" s="10">
        <f t="shared" ca="1" si="7"/>
        <v>6.9593402360234105E-2</v>
      </c>
    </row>
    <row r="82" spans="2:8" hidden="1" x14ac:dyDescent="0.2">
      <c r="B82" s="8">
        <v>43542</v>
      </c>
      <c r="C82" s="9">
        <f t="shared" ca="1" si="4"/>
        <v>16557.785056985274</v>
      </c>
      <c r="D82" s="9">
        <f t="shared" ca="1" si="5"/>
        <v>16070.051788520988</v>
      </c>
      <c r="E82" s="10">
        <f t="shared" ca="1" si="6"/>
        <v>8.0130621414987363E-2</v>
      </c>
      <c r="G82" s="8">
        <v>43542</v>
      </c>
      <c r="H82" s="10">
        <f t="shared" ca="1" si="7"/>
        <v>6.8763343005604688E-2</v>
      </c>
    </row>
    <row r="83" spans="2:8" hidden="1" x14ac:dyDescent="0.2">
      <c r="B83" s="8">
        <v>43543</v>
      </c>
      <c r="C83" s="9">
        <f t="shared" ca="1" si="4"/>
        <v>15751.512485682135</v>
      </c>
      <c r="D83" s="9">
        <f t="shared" ca="1" si="5"/>
        <v>11109.814245272437</v>
      </c>
      <c r="E83" s="10">
        <f t="shared" ca="1" si="6"/>
        <v>0.13987874778107628</v>
      </c>
      <c r="G83" s="8">
        <v>43543</v>
      </c>
      <c r="H83" s="10">
        <f t="shared" ca="1" si="7"/>
        <v>5.9673856760845939E-2</v>
      </c>
    </row>
    <row r="84" spans="2:8" hidden="1" x14ac:dyDescent="0.2">
      <c r="B84" s="8">
        <v>43544</v>
      </c>
      <c r="C84" s="9">
        <f t="shared" ca="1" si="4"/>
        <v>15079.687313443723</v>
      </c>
      <c r="D84" s="9">
        <f t="shared" ca="1" si="5"/>
        <v>11168.294124767513</v>
      </c>
      <c r="E84" s="10">
        <f t="shared" ca="1" si="6"/>
        <v>0.16680746442257341</v>
      </c>
      <c r="G84" s="8">
        <v>43544</v>
      </c>
      <c r="H84" s="10">
        <f t="shared" ca="1" si="7"/>
        <v>5.0173533193603861E-2</v>
      </c>
    </row>
    <row r="85" spans="2:8" hidden="1" x14ac:dyDescent="0.2">
      <c r="B85" s="8">
        <v>43545</v>
      </c>
      <c r="C85" s="9">
        <f t="shared" ca="1" si="4"/>
        <v>12857.187381266838</v>
      </c>
      <c r="D85" s="9">
        <f t="shared" ca="1" si="5"/>
        <v>17138.942780704034</v>
      </c>
      <c r="E85" s="10">
        <f t="shared" ca="1" si="6"/>
        <v>0.18123611125379355</v>
      </c>
      <c r="G85" s="8">
        <v>43545</v>
      </c>
      <c r="H85" s="10">
        <f t="shared" ca="1" si="7"/>
        <v>1.1653234169960806E-2</v>
      </c>
    </row>
    <row r="86" spans="2:8" hidden="1" x14ac:dyDescent="0.2">
      <c r="B86" s="8">
        <v>43546</v>
      </c>
      <c r="C86" s="9">
        <f t="shared" ca="1" si="4"/>
        <v>16002.107236482123</v>
      </c>
      <c r="D86" s="9">
        <f t="shared" ca="1" si="5"/>
        <v>12667.593440383023</v>
      </c>
      <c r="E86" s="10">
        <f t="shared" ca="1" si="6"/>
        <v>0.15704962536868922</v>
      </c>
      <c r="G86" s="8">
        <v>43546</v>
      </c>
      <c r="H86" s="10">
        <f t="shared" ca="1" si="7"/>
        <v>1.2694812565158647E-2</v>
      </c>
    </row>
    <row r="87" spans="2:8" hidden="1" x14ac:dyDescent="0.2">
      <c r="B87" s="8">
        <v>43547</v>
      </c>
      <c r="C87" s="9">
        <f t="shared" ca="1" si="4"/>
        <v>16313.224314008854</v>
      </c>
      <c r="D87" s="9">
        <f t="shared" ca="1" si="5"/>
        <v>17313.025477852356</v>
      </c>
      <c r="E87" s="10">
        <f t="shared" ca="1" si="6"/>
        <v>0.16843603072614244</v>
      </c>
      <c r="G87" s="8">
        <v>43547</v>
      </c>
      <c r="H87" s="10">
        <f t="shared" ca="1" si="7"/>
        <v>3.9390964983204838E-2</v>
      </c>
    </row>
    <row r="88" spans="2:8" hidden="1" x14ac:dyDescent="0.2">
      <c r="B88" s="8">
        <v>43548</v>
      </c>
      <c r="C88" s="9">
        <f t="shared" ca="1" si="4"/>
        <v>12475.157714389483</v>
      </c>
      <c r="D88" s="9">
        <f t="shared" ca="1" si="5"/>
        <v>11807.581284751206</v>
      </c>
      <c r="E88" s="10">
        <f t="shared" ca="1" si="6"/>
        <v>0.20212903758307832</v>
      </c>
      <c r="G88" s="8">
        <v>43548</v>
      </c>
      <c r="H88" s="10">
        <f t="shared" ca="1" si="7"/>
        <v>6.5480885096919614E-2</v>
      </c>
    </row>
    <row r="89" spans="2:8" hidden="1" x14ac:dyDescent="0.2">
      <c r="B89" s="8">
        <v>43549</v>
      </c>
      <c r="C89" s="9">
        <f t="shared" ca="1" si="4"/>
        <v>17454.021681274728</v>
      </c>
      <c r="D89" s="9">
        <f t="shared" ca="1" si="5"/>
        <v>16683.496462797575</v>
      </c>
      <c r="E89" s="10">
        <f t="shared" ca="1" si="6"/>
        <v>0.18163994767217476</v>
      </c>
      <c r="G89" s="8">
        <v>43549</v>
      </c>
      <c r="H89" s="10">
        <f t="shared" ca="1" si="7"/>
        <v>5.3258446417695005E-2</v>
      </c>
    </row>
    <row r="90" spans="2:8" hidden="1" x14ac:dyDescent="0.2">
      <c r="B90" s="8">
        <v>43550</v>
      </c>
      <c r="C90" s="9">
        <f t="shared" ca="1" si="4"/>
        <v>16113.346823126336</v>
      </c>
      <c r="D90" s="9">
        <f t="shared" ca="1" si="5"/>
        <v>17405.50453597615</v>
      </c>
      <c r="E90" s="10">
        <f t="shared" ca="1" si="6"/>
        <v>9.161551027524692E-2</v>
      </c>
      <c r="G90" s="8">
        <v>43550</v>
      </c>
      <c r="H90" s="10">
        <f t="shared" ca="1" si="7"/>
        <v>1.701705350043586E-2</v>
      </c>
    </row>
    <row r="91" spans="2:8" hidden="1" x14ac:dyDescent="0.2">
      <c r="B91" s="8">
        <v>43551</v>
      </c>
      <c r="C91" s="9">
        <f t="shared" ca="1" si="4"/>
        <v>12212.7468887746</v>
      </c>
      <c r="D91" s="9">
        <f t="shared" ca="1" si="5"/>
        <v>14758.129685498156</v>
      </c>
      <c r="E91" s="10">
        <f t="shared" ca="1" si="6"/>
        <v>0.18743293416846482</v>
      </c>
      <c r="G91" s="8">
        <v>43551</v>
      </c>
      <c r="H91" s="10">
        <f t="shared" ca="1" si="7"/>
        <v>1.0511417898396141E-2</v>
      </c>
    </row>
    <row r="92" spans="2:8" hidden="1" x14ac:dyDescent="0.2">
      <c r="B92" s="8">
        <v>43552</v>
      </c>
      <c r="C92" s="9">
        <f t="shared" ca="1" si="4"/>
        <v>13263.814876025819</v>
      </c>
      <c r="D92" s="9">
        <f t="shared" ca="1" si="5"/>
        <v>17718.449014361406</v>
      </c>
      <c r="E92" s="10">
        <f t="shared" ca="1" si="6"/>
        <v>0.27184093352760791</v>
      </c>
      <c r="G92" s="8">
        <v>43552</v>
      </c>
      <c r="H92" s="10">
        <f t="shared" ca="1" si="7"/>
        <v>1.5253250260816408E-2</v>
      </c>
    </row>
    <row r="93" spans="2:8" hidden="1" x14ac:dyDescent="0.2">
      <c r="B93" s="8">
        <v>43553</v>
      </c>
      <c r="C93" s="9">
        <f t="shared" ca="1" si="4"/>
        <v>15053.32704086089</v>
      </c>
      <c r="D93" s="9">
        <f t="shared" ca="1" si="5"/>
        <v>12545.154396912563</v>
      </c>
      <c r="E93" s="10">
        <f t="shared" ca="1" si="6"/>
        <v>0.25120577949198147</v>
      </c>
      <c r="G93" s="8">
        <v>43553</v>
      </c>
      <c r="H93" s="10">
        <f t="shared" ca="1" si="7"/>
        <v>6.0743572896929977E-2</v>
      </c>
    </row>
    <row r="94" spans="2:8" hidden="1" x14ac:dyDescent="0.2">
      <c r="B94" s="8">
        <v>43554</v>
      </c>
      <c r="C94" s="9">
        <f t="shared" ca="1" si="4"/>
        <v>11198.663719562319</v>
      </c>
      <c r="D94" s="9">
        <f t="shared" ca="1" si="5"/>
        <v>17974.452706096788</v>
      </c>
      <c r="E94" s="10">
        <f t="shared" ca="1" si="6"/>
        <v>6.5863342766185232E-2</v>
      </c>
      <c r="G94" s="8">
        <v>43554</v>
      </c>
      <c r="H94" s="10">
        <f t="shared" ca="1" si="7"/>
        <v>5.5999606170188655E-2</v>
      </c>
    </row>
    <row r="95" spans="2:8" hidden="1" x14ac:dyDescent="0.2">
      <c r="B95" s="8">
        <v>43555</v>
      </c>
      <c r="C95" s="9">
        <f t="shared" ca="1" si="4"/>
        <v>13205.762255972339</v>
      </c>
      <c r="D95" s="9">
        <f t="shared" ca="1" si="5"/>
        <v>15250.877764702997</v>
      </c>
      <c r="E95" s="10">
        <f t="shared" ca="1" si="6"/>
        <v>0.26317807767902551</v>
      </c>
      <c r="G95" s="8">
        <v>43555</v>
      </c>
      <c r="H95" s="10">
        <f t="shared" ca="1" si="7"/>
        <v>1.8608727210604442E-2</v>
      </c>
    </row>
    <row r="96" spans="2:8" hidden="1" x14ac:dyDescent="0.2">
      <c r="B96" s="8">
        <v>43556</v>
      </c>
      <c r="C96" s="9">
        <f t="shared" ca="1" si="4"/>
        <v>10292.828663116139</v>
      </c>
      <c r="D96" s="9">
        <f t="shared" ca="1" si="5"/>
        <v>17165.250476339406</v>
      </c>
      <c r="E96" s="10">
        <f t="shared" ca="1" si="6"/>
        <v>0.11032528940679071</v>
      </c>
      <c r="G96" s="8">
        <v>43556</v>
      </c>
      <c r="H96" s="10">
        <f t="shared" ca="1" si="7"/>
        <v>5.4136358377816572E-2</v>
      </c>
    </row>
    <row r="97" spans="2:8" hidden="1" x14ac:dyDescent="0.2">
      <c r="B97" s="8">
        <v>43557</v>
      </c>
      <c r="C97" s="9">
        <f t="shared" ca="1" si="4"/>
        <v>16688.976931259262</v>
      </c>
      <c r="D97" s="9">
        <f t="shared" ca="1" si="5"/>
        <v>15558.526603446448</v>
      </c>
      <c r="E97" s="10">
        <f t="shared" ca="1" si="6"/>
        <v>0.26446185982856946</v>
      </c>
      <c r="G97" s="8">
        <v>43557</v>
      </c>
      <c r="H97" s="10">
        <f t="shared" ca="1" si="7"/>
        <v>1.2121121702686782E-2</v>
      </c>
    </row>
    <row r="98" spans="2:8" hidden="1" x14ac:dyDescent="0.2">
      <c r="B98" s="8">
        <v>43558</v>
      </c>
      <c r="C98" s="9">
        <f t="shared" ca="1" si="4"/>
        <v>15251.269116262811</v>
      </c>
      <c r="D98" s="9">
        <f t="shared" ca="1" si="5"/>
        <v>14806.234750818609</v>
      </c>
      <c r="E98" s="10">
        <f t="shared" ca="1" si="6"/>
        <v>0.24952658066322966</v>
      </c>
      <c r="G98" s="8">
        <v>43558</v>
      </c>
      <c r="H98" s="10">
        <f t="shared" ca="1" si="7"/>
        <v>4.3380576212304324E-2</v>
      </c>
    </row>
    <row r="99" spans="2:8" hidden="1" x14ac:dyDescent="0.2">
      <c r="B99" s="8">
        <v>43559</v>
      </c>
      <c r="C99" s="9">
        <f t="shared" ca="1" si="4"/>
        <v>13326.31766862423</v>
      </c>
      <c r="D99" s="9">
        <f t="shared" ca="1" si="5"/>
        <v>16660.316941842477</v>
      </c>
      <c r="E99" s="10">
        <f t="shared" ca="1" si="6"/>
        <v>0.26873855417976855</v>
      </c>
      <c r="G99" s="8">
        <v>43559</v>
      </c>
      <c r="H99" s="10">
        <f t="shared" ca="1" si="7"/>
        <v>3.094890812371813E-2</v>
      </c>
    </row>
    <row r="100" spans="2:8" hidden="1" x14ac:dyDescent="0.2">
      <c r="B100" s="8">
        <v>43560</v>
      </c>
      <c r="C100" s="9">
        <f t="shared" ca="1" si="4"/>
        <v>12061.34069475258</v>
      </c>
      <c r="D100" s="9">
        <f t="shared" ca="1" si="5"/>
        <v>10538.815373967025</v>
      </c>
      <c r="E100" s="10">
        <f t="shared" ca="1" si="6"/>
        <v>0.23507493872437535</v>
      </c>
      <c r="G100" s="8">
        <v>43560</v>
      </c>
      <c r="H100" s="10">
        <f t="shared" ca="1" si="7"/>
        <v>3.1078054844803599E-2</v>
      </c>
    </row>
    <row r="101" spans="2:8" hidden="1" x14ac:dyDescent="0.2">
      <c r="B101" s="8">
        <v>43561</v>
      </c>
      <c r="C101" s="9">
        <f t="shared" ca="1" si="4"/>
        <v>14037.389602126765</v>
      </c>
      <c r="D101" s="9">
        <f t="shared" ca="1" si="5"/>
        <v>12473.294006898632</v>
      </c>
      <c r="E101" s="10">
        <f t="shared" ca="1" si="6"/>
        <v>0.22793978929904168</v>
      </c>
      <c r="G101" s="8">
        <v>43561</v>
      </c>
      <c r="H101" s="10">
        <f t="shared" ca="1" si="7"/>
        <v>3.8811619002421506E-2</v>
      </c>
    </row>
    <row r="102" spans="2:8" hidden="1" x14ac:dyDescent="0.2">
      <c r="B102" s="8">
        <v>43562</v>
      </c>
      <c r="C102" s="9">
        <f t="shared" ca="1" si="4"/>
        <v>12160.001933374009</v>
      </c>
      <c r="D102" s="9">
        <f t="shared" ca="1" si="5"/>
        <v>16446.575127042706</v>
      </c>
      <c r="E102" s="10">
        <f t="shared" ca="1" si="6"/>
        <v>0.10569551649371935</v>
      </c>
      <c r="G102" s="8">
        <v>43562</v>
      </c>
      <c r="H102" s="10">
        <f t="shared" ca="1" si="7"/>
        <v>4.4704146627238948E-2</v>
      </c>
    </row>
    <row r="103" spans="2:8" hidden="1" x14ac:dyDescent="0.2">
      <c r="B103" s="8">
        <v>43563</v>
      </c>
      <c r="C103" s="9">
        <f t="shared" ca="1" si="4"/>
        <v>11357.06140196854</v>
      </c>
      <c r="D103" s="9">
        <f t="shared" ca="1" si="5"/>
        <v>12134.928210761051</v>
      </c>
      <c r="E103" s="10">
        <f t="shared" ca="1" si="6"/>
        <v>0.14590424309753716</v>
      </c>
      <c r="G103" s="8">
        <v>43563</v>
      </c>
      <c r="H103" s="10">
        <f t="shared" ca="1" si="7"/>
        <v>1.9514495225569063E-2</v>
      </c>
    </row>
    <row r="104" spans="2:8" hidden="1" x14ac:dyDescent="0.2">
      <c r="B104" s="8">
        <v>43564</v>
      </c>
      <c r="C104" s="9">
        <f t="shared" ca="1" si="4"/>
        <v>13373.964664037394</v>
      </c>
      <c r="D104" s="9">
        <f t="shared" ca="1" si="5"/>
        <v>15046.617474906823</v>
      </c>
      <c r="E104" s="10">
        <f t="shared" ca="1" si="6"/>
        <v>0.12252620102332951</v>
      </c>
      <c r="G104" s="8">
        <v>43564</v>
      </c>
      <c r="H104" s="10">
        <f t="shared" ca="1" si="7"/>
        <v>3.1065023592664533E-2</v>
      </c>
    </row>
    <row r="105" spans="2:8" hidden="1" x14ac:dyDescent="0.2">
      <c r="B105" s="8">
        <v>43565</v>
      </c>
      <c r="C105" s="9">
        <f t="shared" ca="1" si="4"/>
        <v>17122.46709956109</v>
      </c>
      <c r="D105" s="9">
        <f t="shared" ca="1" si="5"/>
        <v>16013.510781848388</v>
      </c>
      <c r="E105" s="10">
        <f t="shared" ca="1" si="6"/>
        <v>0.11958739734482307</v>
      </c>
      <c r="G105" s="8">
        <v>43565</v>
      </c>
      <c r="H105" s="10">
        <f t="shared" ca="1" si="7"/>
        <v>3.4604391367881564E-2</v>
      </c>
    </row>
    <row r="106" spans="2:8" hidden="1" x14ac:dyDescent="0.2">
      <c r="B106" s="8">
        <v>43566</v>
      </c>
      <c r="C106" s="9">
        <f t="shared" ca="1" si="4"/>
        <v>10610.196437967013</v>
      </c>
      <c r="D106" s="9">
        <f t="shared" ca="1" si="5"/>
        <v>16399.687690509774</v>
      </c>
      <c r="E106" s="10">
        <f t="shared" ca="1" si="6"/>
        <v>0.17755763169025265</v>
      </c>
      <c r="G106" s="8">
        <v>43566</v>
      </c>
      <c r="H106" s="10">
        <f t="shared" ca="1" si="7"/>
        <v>3.6186998103309921E-2</v>
      </c>
    </row>
    <row r="107" spans="2:8" hidden="1" x14ac:dyDescent="0.2">
      <c r="B107" s="8">
        <v>43567</v>
      </c>
      <c r="C107" s="9">
        <f t="shared" ca="1" si="4"/>
        <v>14609.256449111717</v>
      </c>
      <c r="D107" s="9">
        <f t="shared" ca="1" si="5"/>
        <v>15197.143281869126</v>
      </c>
      <c r="E107" s="10">
        <f t="shared" ca="1" si="6"/>
        <v>0.20041756656195794</v>
      </c>
      <c r="G107" s="8">
        <v>43567</v>
      </c>
      <c r="H107" s="10">
        <f t="shared" ca="1" si="7"/>
        <v>6.70131603696143E-2</v>
      </c>
    </row>
    <row r="108" spans="2:8" hidden="1" x14ac:dyDescent="0.2">
      <c r="B108" s="8">
        <v>43568</v>
      </c>
      <c r="C108" s="9">
        <f t="shared" ca="1" si="4"/>
        <v>16092.186155463796</v>
      </c>
      <c r="D108" s="9">
        <f t="shared" ca="1" si="5"/>
        <v>14659.028323781946</v>
      </c>
      <c r="E108" s="10">
        <f t="shared" ca="1" si="6"/>
        <v>0.17340024634474172</v>
      </c>
      <c r="G108" s="8">
        <v>43568</v>
      </c>
      <c r="H108" s="10">
        <f t="shared" ca="1" si="7"/>
        <v>4.2152974596299575E-2</v>
      </c>
    </row>
    <row r="109" spans="2:8" hidden="1" x14ac:dyDescent="0.2">
      <c r="B109" s="8">
        <v>43569</v>
      </c>
      <c r="C109" s="9">
        <f t="shared" ca="1" si="4"/>
        <v>16593.911892585096</v>
      </c>
      <c r="D109" s="9">
        <f t="shared" ca="1" si="5"/>
        <v>11806.61367890775</v>
      </c>
      <c r="E109" s="10">
        <f t="shared" ca="1" si="6"/>
        <v>0.14438167782514549</v>
      </c>
      <c r="G109" s="8">
        <v>43569</v>
      </c>
      <c r="H109" s="10">
        <f t="shared" ca="1" si="7"/>
        <v>4.1769592382218487E-2</v>
      </c>
    </row>
    <row r="110" spans="2:8" hidden="1" x14ac:dyDescent="0.2">
      <c r="B110" s="8">
        <v>43570</v>
      </c>
      <c r="C110" s="9">
        <f t="shared" ca="1" si="4"/>
        <v>17873.281554225639</v>
      </c>
      <c r="D110" s="9">
        <f t="shared" ca="1" si="5"/>
        <v>10822.845650591253</v>
      </c>
      <c r="E110" s="10">
        <f t="shared" ca="1" si="6"/>
        <v>0.28363301774392985</v>
      </c>
      <c r="G110" s="8">
        <v>43570</v>
      </c>
      <c r="H110" s="10">
        <f t="shared" ca="1" si="7"/>
        <v>4.7224647340563954E-2</v>
      </c>
    </row>
    <row r="111" spans="2:8" hidden="1" x14ac:dyDescent="0.2">
      <c r="B111" s="8">
        <v>43571</v>
      </c>
      <c r="C111" s="9">
        <f t="shared" ca="1" si="4"/>
        <v>14318.321513294341</v>
      </c>
      <c r="D111" s="9">
        <f t="shared" ca="1" si="5"/>
        <v>16716.702045206261</v>
      </c>
      <c r="E111" s="10">
        <f t="shared" ca="1" si="6"/>
        <v>0.24175474654353757</v>
      </c>
      <c r="G111" s="8">
        <v>43571</v>
      </c>
      <c r="H111" s="10">
        <f t="shared" ca="1" si="7"/>
        <v>1.410491964019208E-2</v>
      </c>
    </row>
    <row r="112" spans="2:8" hidden="1" x14ac:dyDescent="0.2">
      <c r="B112" s="8">
        <v>43572</v>
      </c>
      <c r="C112" s="9">
        <f t="shared" ca="1" si="4"/>
        <v>10839.53996327335</v>
      </c>
      <c r="D112" s="9">
        <f t="shared" ca="1" si="5"/>
        <v>17148.18366628181</v>
      </c>
      <c r="E112" s="10">
        <f t="shared" ca="1" si="6"/>
        <v>0.26570642280433782</v>
      </c>
      <c r="G112" s="8">
        <v>43572</v>
      </c>
      <c r="H112" s="10">
        <f t="shared" ca="1" si="7"/>
        <v>2.3954298445187917E-2</v>
      </c>
    </row>
    <row r="113" spans="2:8" hidden="1" x14ac:dyDescent="0.2">
      <c r="B113" s="8">
        <v>43573</v>
      </c>
      <c r="C113" s="9">
        <f t="shared" ca="1" si="4"/>
        <v>15573.95993207289</v>
      </c>
      <c r="D113" s="9">
        <f t="shared" ca="1" si="5"/>
        <v>10700.87149814009</v>
      </c>
      <c r="E113" s="10">
        <f t="shared" ca="1" si="6"/>
        <v>0.17834954207615672</v>
      </c>
      <c r="G113" s="8">
        <v>43573</v>
      </c>
      <c r="H113" s="10">
        <f t="shared" ca="1" si="7"/>
        <v>4.5723435514829925E-3</v>
      </c>
    </row>
    <row r="114" spans="2:8" hidden="1" x14ac:dyDescent="0.2">
      <c r="B114" s="8">
        <v>43574</v>
      </c>
      <c r="C114" s="9">
        <f t="shared" ca="1" si="4"/>
        <v>14232.429462148886</v>
      </c>
      <c r="D114" s="9">
        <f t="shared" ca="1" si="5"/>
        <v>13152.59610075423</v>
      </c>
      <c r="E114" s="10">
        <f t="shared" ca="1" si="6"/>
        <v>7.7645523181162468E-2</v>
      </c>
      <c r="G114" s="8">
        <v>43574</v>
      </c>
      <c r="H114" s="10">
        <f t="shared" ca="1" si="7"/>
        <v>3.4826170025256599E-2</v>
      </c>
    </row>
    <row r="115" spans="2:8" hidden="1" x14ac:dyDescent="0.2">
      <c r="B115" s="8">
        <v>43575</v>
      </c>
      <c r="C115" s="9">
        <f t="shared" ca="1" si="4"/>
        <v>17771.149208916413</v>
      </c>
      <c r="D115" s="9">
        <f t="shared" ca="1" si="5"/>
        <v>16655.317400246171</v>
      </c>
      <c r="E115" s="10">
        <f t="shared" ca="1" si="6"/>
        <v>0.29391929964857688</v>
      </c>
      <c r="G115" s="8">
        <v>43575</v>
      </c>
      <c r="H115" s="10">
        <f t="shared" ca="1" si="7"/>
        <v>1.951990441929061E-2</v>
      </c>
    </row>
    <row r="116" spans="2:8" hidden="1" x14ac:dyDescent="0.2">
      <c r="B116" s="8">
        <v>43576</v>
      </c>
      <c r="C116" s="9">
        <f t="shared" ca="1" si="4"/>
        <v>13970.297981099304</v>
      </c>
      <c r="D116" s="9">
        <f t="shared" ca="1" si="5"/>
        <v>11933.209695952402</v>
      </c>
      <c r="E116" s="10">
        <f t="shared" ca="1" si="6"/>
        <v>3.2862057044746984E-2</v>
      </c>
      <c r="G116" s="8">
        <v>43576</v>
      </c>
      <c r="H116" s="10">
        <f t="shared" ca="1" si="7"/>
        <v>1.7740465886586614E-2</v>
      </c>
    </row>
    <row r="117" spans="2:8" hidden="1" x14ac:dyDescent="0.2">
      <c r="B117" s="8">
        <v>43577</v>
      </c>
      <c r="C117" s="9">
        <f t="shared" ca="1" si="4"/>
        <v>11802.041902273291</v>
      </c>
      <c r="D117" s="9">
        <f t="shared" ca="1" si="5"/>
        <v>13304.419506349199</v>
      </c>
      <c r="E117" s="10">
        <f t="shared" ca="1" si="6"/>
        <v>0.27577651480566051</v>
      </c>
      <c r="G117" s="8">
        <v>43577</v>
      </c>
      <c r="H117" s="10">
        <f t="shared" ca="1" si="7"/>
        <v>2.8355878731050069E-2</v>
      </c>
    </row>
    <row r="118" spans="2:8" hidden="1" x14ac:dyDescent="0.2">
      <c r="B118" s="8">
        <v>43578</v>
      </c>
      <c r="C118" s="9">
        <f t="shared" ca="1" si="4"/>
        <v>10499.281994097289</v>
      </c>
      <c r="D118" s="9">
        <f t="shared" ca="1" si="5"/>
        <v>13922.685927105684</v>
      </c>
      <c r="E118" s="10">
        <f t="shared" ca="1" si="6"/>
        <v>0.28239526010745519</v>
      </c>
      <c r="G118" s="8">
        <v>43578</v>
      </c>
      <c r="H118" s="10">
        <f t="shared" ca="1" si="7"/>
        <v>8.6106952222175185E-3</v>
      </c>
    </row>
    <row r="119" spans="2:8" hidden="1" x14ac:dyDescent="0.2">
      <c r="B119" s="8">
        <v>43579</v>
      </c>
      <c r="C119" s="9">
        <f t="shared" ca="1" si="4"/>
        <v>11609.7604711819</v>
      </c>
      <c r="D119" s="9">
        <f t="shared" ca="1" si="5"/>
        <v>16243.645612638069</v>
      </c>
      <c r="E119" s="10">
        <f t="shared" ca="1" si="6"/>
        <v>0.10035286035478287</v>
      </c>
      <c r="G119" s="8">
        <v>43579</v>
      </c>
      <c r="H119" s="10">
        <f t="shared" ca="1" si="7"/>
        <v>2.7171089193591659E-2</v>
      </c>
    </row>
    <row r="120" spans="2:8" hidden="1" x14ac:dyDescent="0.2">
      <c r="B120" s="8">
        <v>43580</v>
      </c>
      <c r="C120" s="9">
        <f t="shared" ca="1" si="4"/>
        <v>16706.747301634929</v>
      </c>
      <c r="D120" s="9">
        <f t="shared" ca="1" si="5"/>
        <v>11621.450255026568</v>
      </c>
      <c r="E120" s="10">
        <f t="shared" ca="1" si="6"/>
        <v>6.3093565060377346E-2</v>
      </c>
      <c r="G120" s="8">
        <v>43580</v>
      </c>
      <c r="H120" s="10">
        <f t="shared" ca="1" si="7"/>
        <v>1.7365691270632578E-2</v>
      </c>
    </row>
    <row r="121" spans="2:8" hidden="1" x14ac:dyDescent="0.2">
      <c r="B121" s="8">
        <v>43581</v>
      </c>
      <c r="C121" s="9">
        <f t="shared" ca="1" si="4"/>
        <v>13600.35357422888</v>
      </c>
      <c r="D121" s="9">
        <f t="shared" ca="1" si="5"/>
        <v>15641.388933701373</v>
      </c>
      <c r="E121" s="10">
        <f t="shared" ca="1" si="6"/>
        <v>0.18433249122552742</v>
      </c>
      <c r="G121" s="8">
        <v>43581</v>
      </c>
      <c r="H121" s="10">
        <f t="shared" ca="1" si="7"/>
        <v>1.58044582843632E-3</v>
      </c>
    </row>
    <row r="122" spans="2:8" hidden="1" x14ac:dyDescent="0.2">
      <c r="B122" s="8">
        <v>43582</v>
      </c>
      <c r="C122" s="9">
        <f t="shared" ca="1" si="4"/>
        <v>10343.903339231034</v>
      </c>
      <c r="D122" s="9">
        <f t="shared" ca="1" si="5"/>
        <v>11789.98290873616</v>
      </c>
      <c r="E122" s="10">
        <f t="shared" ca="1" si="6"/>
        <v>0.27665470885344523</v>
      </c>
      <c r="G122" s="8">
        <v>43582</v>
      </c>
      <c r="H122" s="10">
        <f t="shared" ca="1" si="7"/>
        <v>6.2859259378218194E-2</v>
      </c>
    </row>
    <row r="123" spans="2:8" hidden="1" x14ac:dyDescent="0.2">
      <c r="B123" s="8">
        <v>43583</v>
      </c>
      <c r="C123" s="9">
        <f t="shared" ca="1" si="4"/>
        <v>10404.466964681957</v>
      </c>
      <c r="D123" s="9">
        <f t="shared" ca="1" si="5"/>
        <v>16842.376210840255</v>
      </c>
      <c r="E123" s="10">
        <f t="shared" ca="1" si="6"/>
        <v>0.29055654967785072</v>
      </c>
      <c r="G123" s="8">
        <v>43583</v>
      </c>
      <c r="H123" s="10">
        <f t="shared" ca="1" si="7"/>
        <v>5.0421906394007197E-2</v>
      </c>
    </row>
    <row r="124" spans="2:8" hidden="1" x14ac:dyDescent="0.2">
      <c r="B124" s="8">
        <v>43584</v>
      </c>
      <c r="C124" s="9">
        <f t="shared" ca="1" si="4"/>
        <v>15609.173826541592</v>
      </c>
      <c r="D124" s="9">
        <f t="shared" ca="1" si="5"/>
        <v>13165.311927790783</v>
      </c>
      <c r="E124" s="10">
        <f t="shared" ca="1" si="6"/>
        <v>0.15242934324108454</v>
      </c>
      <c r="G124" s="8">
        <v>43584</v>
      </c>
      <c r="H124" s="10">
        <f t="shared" ca="1" si="7"/>
        <v>5.6554909333348467E-2</v>
      </c>
    </row>
    <row r="125" spans="2:8" hidden="1" x14ac:dyDescent="0.2">
      <c r="B125" s="8">
        <v>43585</v>
      </c>
      <c r="C125" s="9">
        <f t="shared" ca="1" si="4"/>
        <v>17783.886432438674</v>
      </c>
      <c r="D125" s="9">
        <f t="shared" ca="1" si="5"/>
        <v>14643.733752402424</v>
      </c>
      <c r="E125" s="10">
        <f t="shared" ca="1" si="6"/>
        <v>0.20232704072081942</v>
      </c>
      <c r="G125" s="8">
        <v>43585</v>
      </c>
      <c r="H125" s="10">
        <f t="shared" ca="1" si="7"/>
        <v>3.2597745884925512E-2</v>
      </c>
    </row>
    <row r="126" spans="2:8" hidden="1" x14ac:dyDescent="0.2">
      <c r="B126" s="8">
        <v>43586</v>
      </c>
      <c r="C126" s="9">
        <f t="shared" ca="1" si="4"/>
        <v>13718.250915705223</v>
      </c>
      <c r="D126" s="9">
        <f t="shared" ca="1" si="5"/>
        <v>10852.944219250066</v>
      </c>
      <c r="E126" s="10">
        <f t="shared" ca="1" si="6"/>
        <v>9.6561260411211158E-2</v>
      </c>
      <c r="G126" s="8">
        <v>43586</v>
      </c>
      <c r="H126" s="10">
        <f t="shared" ca="1" si="7"/>
        <v>6.7522109830756891E-2</v>
      </c>
    </row>
    <row r="127" spans="2:8" hidden="1" x14ac:dyDescent="0.2">
      <c r="B127" s="8">
        <v>43587</v>
      </c>
      <c r="C127" s="9">
        <f t="shared" ca="1" si="4"/>
        <v>15632.375051071969</v>
      </c>
      <c r="D127" s="9">
        <f t="shared" ca="1" si="5"/>
        <v>15311.262564810761</v>
      </c>
      <c r="E127" s="10">
        <f t="shared" ca="1" si="6"/>
        <v>0.27540431128654097</v>
      </c>
      <c r="G127" s="8">
        <v>43587</v>
      </c>
      <c r="H127" s="10">
        <f t="shared" ca="1" si="7"/>
        <v>3.3964655854904852E-2</v>
      </c>
    </row>
    <row r="128" spans="2:8" hidden="1" x14ac:dyDescent="0.2">
      <c r="B128" s="8">
        <v>43588</v>
      </c>
      <c r="C128" s="9">
        <f t="shared" ca="1" si="4"/>
        <v>11958.626104389799</v>
      </c>
      <c r="D128" s="9">
        <f t="shared" ca="1" si="5"/>
        <v>11835.391216055208</v>
      </c>
      <c r="E128" s="10">
        <f t="shared" ca="1" si="6"/>
        <v>6.0173346271901268E-2</v>
      </c>
      <c r="G128" s="8">
        <v>43588</v>
      </c>
      <c r="H128" s="10">
        <f t="shared" ca="1" si="7"/>
        <v>1.5860799157962218E-2</v>
      </c>
    </row>
    <row r="129" spans="2:8" hidden="1" x14ac:dyDescent="0.2">
      <c r="B129" s="8">
        <v>43589</v>
      </c>
      <c r="C129" s="9">
        <f t="shared" ca="1" si="4"/>
        <v>16425.869546605652</v>
      </c>
      <c r="D129" s="9">
        <f t="shared" ca="1" si="5"/>
        <v>13455.896152620053</v>
      </c>
      <c r="E129" s="10">
        <f t="shared" ca="1" si="6"/>
        <v>0.12085648818004986</v>
      </c>
      <c r="G129" s="8">
        <v>43589</v>
      </c>
      <c r="H129" s="10">
        <f t="shared" ca="1" si="7"/>
        <v>1.6447656181181582E-2</v>
      </c>
    </row>
    <row r="130" spans="2:8" hidden="1" x14ac:dyDescent="0.2">
      <c r="B130" s="8">
        <v>43590</v>
      </c>
      <c r="C130" s="9">
        <f t="shared" ca="1" si="4"/>
        <v>17730.318192466242</v>
      </c>
      <c r="D130" s="9">
        <f t="shared" ca="1" si="5"/>
        <v>13498.350719764354</v>
      </c>
      <c r="E130" s="10">
        <f t="shared" ca="1" si="6"/>
        <v>0.28175809628638088</v>
      </c>
      <c r="G130" s="8">
        <v>43590</v>
      </c>
      <c r="H130" s="10">
        <f t="shared" ca="1" si="7"/>
        <v>1.3470413088669012E-2</v>
      </c>
    </row>
    <row r="131" spans="2:8" hidden="1" x14ac:dyDescent="0.2">
      <c r="B131" s="8">
        <v>43591</v>
      </c>
      <c r="C131" s="9">
        <f t="shared" ca="1" si="4"/>
        <v>12129.045680672229</v>
      </c>
      <c r="D131" s="9">
        <f t="shared" ca="1" si="5"/>
        <v>11826.630961480703</v>
      </c>
      <c r="E131" s="10">
        <f t="shared" ca="1" si="6"/>
        <v>2.7543769022377863E-2</v>
      </c>
      <c r="G131" s="8">
        <v>43591</v>
      </c>
      <c r="H131" s="10">
        <f t="shared" ca="1" si="7"/>
        <v>2.9624112209355187E-2</v>
      </c>
    </row>
    <row r="132" spans="2:8" hidden="1" x14ac:dyDescent="0.2">
      <c r="B132" s="8">
        <v>43592</v>
      </c>
      <c r="C132" s="9">
        <f t="shared" ca="1" si="4"/>
        <v>16176.067379490441</v>
      </c>
      <c r="D132" s="9">
        <f t="shared" ca="1" si="5"/>
        <v>14356.641264329885</v>
      </c>
      <c r="E132" s="10">
        <f t="shared" ca="1" si="6"/>
        <v>4.7306684423554825E-2</v>
      </c>
      <c r="G132" s="8">
        <v>43592</v>
      </c>
      <c r="H132" s="10">
        <f t="shared" ca="1" si="7"/>
        <v>8.1255922472495325E-3</v>
      </c>
    </row>
    <row r="133" spans="2:8" hidden="1" x14ac:dyDescent="0.2">
      <c r="B133" s="8">
        <v>43593</v>
      </c>
      <c r="C133" s="9">
        <f t="shared" ca="1" si="4"/>
        <v>14591.664320227004</v>
      </c>
      <c r="D133" s="9">
        <f t="shared" ca="1" si="5"/>
        <v>15980.281442720738</v>
      </c>
      <c r="E133" s="10">
        <f t="shared" ca="1" si="6"/>
        <v>0.26152948758125477</v>
      </c>
      <c r="G133" s="8">
        <v>43593</v>
      </c>
      <c r="H133" s="10">
        <f t="shared" ca="1" si="7"/>
        <v>6.9434384750327774E-2</v>
      </c>
    </row>
    <row r="134" spans="2:8" hidden="1" x14ac:dyDescent="0.2">
      <c r="B134" s="8">
        <v>43594</v>
      </c>
      <c r="C134" s="9">
        <f t="shared" ca="1" si="4"/>
        <v>17720.819589360581</v>
      </c>
      <c r="D134" s="9">
        <f t="shared" ca="1" si="5"/>
        <v>10316.517540193503</v>
      </c>
      <c r="E134" s="10">
        <f t="shared" ca="1" si="6"/>
        <v>0.28355303076552013</v>
      </c>
      <c r="G134" s="8">
        <v>43594</v>
      </c>
      <c r="H134" s="10">
        <f t="shared" ca="1" si="7"/>
        <v>1.6495175748056045E-2</v>
      </c>
    </row>
    <row r="135" spans="2:8" hidden="1" x14ac:dyDescent="0.2">
      <c r="B135" s="8">
        <v>43595</v>
      </c>
      <c r="C135" s="9">
        <f t="shared" ref="C135:C198" ca="1" si="8">RAND()*(18000-10000)+10000</f>
        <v>10367.298389568225</v>
      </c>
      <c r="D135" s="9">
        <f t="shared" ref="D135:D198" ca="1" si="9">RAND()*(18000-10000)+10000</f>
        <v>15038.131214597644</v>
      </c>
      <c r="E135" s="10">
        <f t="shared" ref="E135:E198" ca="1" si="10">RAND()*(30%-0%)+0%</f>
        <v>4.0650324038709086E-2</v>
      </c>
      <c r="G135" s="8">
        <v>43595</v>
      </c>
      <c r="H135" s="10">
        <f t="shared" ref="H135:H198" ca="1" si="11">RAND()*(7%-0%)+0%</f>
        <v>2.3015547458216584E-2</v>
      </c>
    </row>
    <row r="136" spans="2:8" hidden="1" x14ac:dyDescent="0.2">
      <c r="B136" s="8">
        <v>43596</v>
      </c>
      <c r="C136" s="9">
        <f t="shared" ca="1" si="8"/>
        <v>11842.244889318255</v>
      </c>
      <c r="D136" s="9">
        <f t="shared" ca="1" si="9"/>
        <v>10309.102866080788</v>
      </c>
      <c r="E136" s="10">
        <f t="shared" ca="1" si="10"/>
        <v>0.25397911241895554</v>
      </c>
      <c r="G136" s="8">
        <v>43596</v>
      </c>
      <c r="H136" s="10">
        <f t="shared" ca="1" si="11"/>
        <v>5.8274528958380846E-2</v>
      </c>
    </row>
    <row r="137" spans="2:8" hidden="1" x14ac:dyDescent="0.2">
      <c r="B137" s="8">
        <v>43597</v>
      </c>
      <c r="C137" s="9">
        <f t="shared" ca="1" si="8"/>
        <v>14229.696091731688</v>
      </c>
      <c r="D137" s="9">
        <f t="shared" ca="1" si="9"/>
        <v>13859.848268188087</v>
      </c>
      <c r="E137" s="10">
        <f t="shared" ca="1" si="10"/>
        <v>7.806098456118471E-2</v>
      </c>
      <c r="G137" s="8">
        <v>43597</v>
      </c>
      <c r="H137" s="10">
        <f t="shared" ca="1" si="11"/>
        <v>6.873224321801967E-2</v>
      </c>
    </row>
    <row r="138" spans="2:8" hidden="1" x14ac:dyDescent="0.2">
      <c r="B138" s="8">
        <v>43598</v>
      </c>
      <c r="C138" s="9">
        <f t="shared" ca="1" si="8"/>
        <v>16957.25721332859</v>
      </c>
      <c r="D138" s="9">
        <f t="shared" ca="1" si="9"/>
        <v>12291.498312607464</v>
      </c>
      <c r="E138" s="10">
        <f t="shared" ca="1" si="10"/>
        <v>0.18394828563401688</v>
      </c>
      <c r="G138" s="8">
        <v>43598</v>
      </c>
      <c r="H138" s="10">
        <f t="shared" ca="1" si="11"/>
        <v>1.8700363041884764E-2</v>
      </c>
    </row>
    <row r="139" spans="2:8" hidden="1" x14ac:dyDescent="0.2">
      <c r="B139" s="8">
        <v>43599</v>
      </c>
      <c r="C139" s="9">
        <f t="shared" ca="1" si="8"/>
        <v>11866.214505301117</v>
      </c>
      <c r="D139" s="9">
        <f t="shared" ca="1" si="9"/>
        <v>15031.494036584587</v>
      </c>
      <c r="E139" s="10">
        <f t="shared" ca="1" si="10"/>
        <v>0.21362871819696613</v>
      </c>
      <c r="G139" s="8">
        <v>43599</v>
      </c>
      <c r="H139" s="10">
        <f t="shared" ca="1" si="11"/>
        <v>6.8770252556861131E-2</v>
      </c>
    </row>
    <row r="140" spans="2:8" hidden="1" x14ac:dyDescent="0.2">
      <c r="B140" s="8">
        <v>43600</v>
      </c>
      <c r="C140" s="9">
        <f t="shared" ca="1" si="8"/>
        <v>17520.829124052645</v>
      </c>
      <c r="D140" s="9">
        <f t="shared" ca="1" si="9"/>
        <v>15725.266364412906</v>
      </c>
      <c r="E140" s="10">
        <f t="shared" ca="1" si="10"/>
        <v>0.25189896727031946</v>
      </c>
      <c r="G140" s="8">
        <v>43600</v>
      </c>
      <c r="H140" s="10">
        <f t="shared" ca="1" si="11"/>
        <v>2.4226033571836152E-2</v>
      </c>
    </row>
    <row r="141" spans="2:8" hidden="1" x14ac:dyDescent="0.2">
      <c r="B141" s="8">
        <v>43601</v>
      </c>
      <c r="C141" s="9">
        <f t="shared" ca="1" si="8"/>
        <v>15815.458953081939</v>
      </c>
      <c r="D141" s="9">
        <f t="shared" ca="1" si="9"/>
        <v>16125.164174932796</v>
      </c>
      <c r="E141" s="10">
        <f t="shared" ca="1" si="10"/>
        <v>0.11936272875476012</v>
      </c>
      <c r="G141" s="8">
        <v>43601</v>
      </c>
      <c r="H141" s="10">
        <f t="shared" ca="1" si="11"/>
        <v>4.7027904227866416E-2</v>
      </c>
    </row>
    <row r="142" spans="2:8" hidden="1" x14ac:dyDescent="0.2">
      <c r="B142" s="8">
        <v>43602</v>
      </c>
      <c r="C142" s="9">
        <f t="shared" ca="1" si="8"/>
        <v>10603.709941268027</v>
      </c>
      <c r="D142" s="9">
        <f t="shared" ca="1" si="9"/>
        <v>17019.469787034144</v>
      </c>
      <c r="E142" s="10">
        <f t="shared" ca="1" si="10"/>
        <v>0.14123000595500471</v>
      </c>
      <c r="G142" s="8">
        <v>43602</v>
      </c>
      <c r="H142" s="10">
        <f t="shared" ca="1" si="11"/>
        <v>1.3928168704264133E-3</v>
      </c>
    </row>
    <row r="143" spans="2:8" hidden="1" x14ac:dyDescent="0.2">
      <c r="B143" s="8">
        <v>43603</v>
      </c>
      <c r="C143" s="9">
        <f t="shared" ca="1" si="8"/>
        <v>16488.426540771125</v>
      </c>
      <c r="D143" s="9">
        <f t="shared" ca="1" si="9"/>
        <v>12474.526056406874</v>
      </c>
      <c r="E143" s="10">
        <f t="shared" ca="1" si="10"/>
        <v>6.5932884526615956E-2</v>
      </c>
      <c r="G143" s="8">
        <v>43603</v>
      </c>
      <c r="H143" s="10">
        <f t="shared" ca="1" si="11"/>
        <v>5.1277508340143031E-2</v>
      </c>
    </row>
    <row r="144" spans="2:8" hidden="1" x14ac:dyDescent="0.2">
      <c r="B144" s="8">
        <v>43604</v>
      </c>
      <c r="C144" s="9">
        <f t="shared" ca="1" si="8"/>
        <v>10607.765947891721</v>
      </c>
      <c r="D144" s="9">
        <f t="shared" ca="1" si="9"/>
        <v>14312.173001802195</v>
      </c>
      <c r="E144" s="10">
        <f t="shared" ca="1" si="10"/>
        <v>0.13368230917080356</v>
      </c>
      <c r="G144" s="8">
        <v>43604</v>
      </c>
      <c r="H144" s="10">
        <f t="shared" ca="1" si="11"/>
        <v>1.6123331383012321E-2</v>
      </c>
    </row>
    <row r="145" spans="2:8" hidden="1" x14ac:dyDescent="0.2">
      <c r="B145" s="8">
        <v>43605</v>
      </c>
      <c r="C145" s="9">
        <f t="shared" ca="1" si="8"/>
        <v>12339.407674887492</v>
      </c>
      <c r="D145" s="9">
        <f t="shared" ca="1" si="9"/>
        <v>15078.764464939693</v>
      </c>
      <c r="E145" s="10">
        <f t="shared" ca="1" si="10"/>
        <v>0.17303849643937874</v>
      </c>
      <c r="G145" s="8">
        <v>43605</v>
      </c>
      <c r="H145" s="10">
        <f t="shared" ca="1" si="11"/>
        <v>4.980133387076191E-2</v>
      </c>
    </row>
    <row r="146" spans="2:8" hidden="1" x14ac:dyDescent="0.2">
      <c r="B146" s="8">
        <v>43606</v>
      </c>
      <c r="C146" s="9">
        <f t="shared" ca="1" si="8"/>
        <v>11096.600986943229</v>
      </c>
      <c r="D146" s="9">
        <f t="shared" ca="1" si="9"/>
        <v>16207.212651108826</v>
      </c>
      <c r="E146" s="10">
        <f t="shared" ca="1" si="10"/>
        <v>0.27434440216689721</v>
      </c>
      <c r="G146" s="8">
        <v>43606</v>
      </c>
      <c r="H146" s="10">
        <f t="shared" ca="1" si="11"/>
        <v>6.7299211272883672E-2</v>
      </c>
    </row>
    <row r="147" spans="2:8" hidden="1" x14ac:dyDescent="0.2">
      <c r="B147" s="8">
        <v>43607</v>
      </c>
      <c r="C147" s="9">
        <f t="shared" ca="1" si="8"/>
        <v>10243.016461347999</v>
      </c>
      <c r="D147" s="9">
        <f t="shared" ca="1" si="9"/>
        <v>12398.262148903061</v>
      </c>
      <c r="E147" s="10">
        <f t="shared" ca="1" si="10"/>
        <v>0.24473055648713196</v>
      </c>
      <c r="G147" s="8">
        <v>43607</v>
      </c>
      <c r="H147" s="10">
        <f t="shared" ca="1" si="11"/>
        <v>4.9979501861925242E-2</v>
      </c>
    </row>
    <row r="148" spans="2:8" hidden="1" x14ac:dyDescent="0.2">
      <c r="B148" s="8">
        <v>43608</v>
      </c>
      <c r="C148" s="9">
        <f t="shared" ca="1" si="8"/>
        <v>11007.501231268056</v>
      </c>
      <c r="D148" s="9">
        <f t="shared" ca="1" si="9"/>
        <v>17868.996115780039</v>
      </c>
      <c r="E148" s="10">
        <f t="shared" ca="1" si="10"/>
        <v>2.564134887821886E-2</v>
      </c>
      <c r="G148" s="8">
        <v>43608</v>
      </c>
      <c r="H148" s="10">
        <f t="shared" ca="1" si="11"/>
        <v>2.7365313719389557E-2</v>
      </c>
    </row>
    <row r="149" spans="2:8" hidden="1" x14ac:dyDescent="0.2">
      <c r="B149" s="8">
        <v>43609</v>
      </c>
      <c r="C149" s="9">
        <f t="shared" ca="1" si="8"/>
        <v>11549.466664937994</v>
      </c>
      <c r="D149" s="9">
        <f t="shared" ca="1" si="9"/>
        <v>10348.938648983669</v>
      </c>
      <c r="E149" s="10">
        <f t="shared" ca="1" si="10"/>
        <v>0.11973385228546356</v>
      </c>
      <c r="G149" s="8">
        <v>43609</v>
      </c>
      <c r="H149" s="10">
        <f t="shared" ca="1" si="11"/>
        <v>5.5473907388255056E-2</v>
      </c>
    </row>
    <row r="150" spans="2:8" hidden="1" x14ac:dyDescent="0.2">
      <c r="B150" s="8">
        <v>43610</v>
      </c>
      <c r="C150" s="9">
        <f t="shared" ca="1" si="8"/>
        <v>17219.896537015899</v>
      </c>
      <c r="D150" s="9">
        <f t="shared" ca="1" si="9"/>
        <v>15637.712127958623</v>
      </c>
      <c r="E150" s="10">
        <f t="shared" ca="1" si="10"/>
        <v>0.23579116079358695</v>
      </c>
      <c r="G150" s="8">
        <v>43610</v>
      </c>
      <c r="H150" s="10">
        <f t="shared" ca="1" si="11"/>
        <v>2.1854811862930725E-2</v>
      </c>
    </row>
    <row r="151" spans="2:8" hidden="1" x14ac:dyDescent="0.2">
      <c r="B151" s="8">
        <v>43611</v>
      </c>
      <c r="C151" s="9">
        <f t="shared" ca="1" si="8"/>
        <v>14554.280356722791</v>
      </c>
      <c r="D151" s="9">
        <f t="shared" ca="1" si="9"/>
        <v>12499.801564563351</v>
      </c>
      <c r="E151" s="10">
        <f t="shared" ca="1" si="10"/>
        <v>0.16276304971135905</v>
      </c>
      <c r="G151" s="8">
        <v>43611</v>
      </c>
      <c r="H151" s="10">
        <f t="shared" ca="1" si="11"/>
        <v>6.3612366264290121E-2</v>
      </c>
    </row>
    <row r="152" spans="2:8" hidden="1" x14ac:dyDescent="0.2">
      <c r="B152" s="8">
        <v>43612</v>
      </c>
      <c r="C152" s="9">
        <f t="shared" ca="1" si="8"/>
        <v>12776.020853526454</v>
      </c>
      <c r="D152" s="9">
        <f t="shared" ca="1" si="9"/>
        <v>12369.034149997986</v>
      </c>
      <c r="E152" s="10">
        <f t="shared" ca="1" si="10"/>
        <v>0.18765891597793785</v>
      </c>
      <c r="G152" s="8">
        <v>43612</v>
      </c>
      <c r="H152" s="10">
        <f t="shared" ca="1" si="11"/>
        <v>2.3793387362863835E-2</v>
      </c>
    </row>
    <row r="153" spans="2:8" hidden="1" x14ac:dyDescent="0.2">
      <c r="B153" s="8">
        <v>43613</v>
      </c>
      <c r="C153" s="9">
        <f t="shared" ca="1" si="8"/>
        <v>14664.909191370145</v>
      </c>
      <c r="D153" s="9">
        <f t="shared" ca="1" si="9"/>
        <v>14134.230220154201</v>
      </c>
      <c r="E153" s="10">
        <f t="shared" ca="1" si="10"/>
        <v>0.12480047935527844</v>
      </c>
      <c r="G153" s="8">
        <v>43613</v>
      </c>
      <c r="H153" s="10">
        <f t="shared" ca="1" si="11"/>
        <v>1.2860353447202546E-3</v>
      </c>
    </row>
    <row r="154" spans="2:8" hidden="1" x14ac:dyDescent="0.2">
      <c r="B154" s="8">
        <v>43614</v>
      </c>
      <c r="C154" s="9">
        <f t="shared" ca="1" si="8"/>
        <v>14851.034172984932</v>
      </c>
      <c r="D154" s="9">
        <f t="shared" ca="1" si="9"/>
        <v>15395.996901361288</v>
      </c>
      <c r="E154" s="10">
        <f t="shared" ca="1" si="10"/>
        <v>0.20776820818619313</v>
      </c>
      <c r="G154" s="8">
        <v>43614</v>
      </c>
      <c r="H154" s="10">
        <f t="shared" ca="1" si="11"/>
        <v>5.483574222030544E-2</v>
      </c>
    </row>
    <row r="155" spans="2:8" hidden="1" x14ac:dyDescent="0.2">
      <c r="B155" s="8">
        <v>43615</v>
      </c>
      <c r="C155" s="9">
        <f t="shared" ca="1" si="8"/>
        <v>15832.89673466123</v>
      </c>
      <c r="D155" s="9">
        <f t="shared" ca="1" si="9"/>
        <v>16587.801431941843</v>
      </c>
      <c r="E155" s="10">
        <f t="shared" ca="1" si="10"/>
        <v>0.24118131530794501</v>
      </c>
      <c r="G155" s="8">
        <v>43615</v>
      </c>
      <c r="H155" s="10">
        <f t="shared" ca="1" si="11"/>
        <v>2.4582575735243424E-2</v>
      </c>
    </row>
    <row r="156" spans="2:8" hidden="1" x14ac:dyDescent="0.2">
      <c r="B156" s="8">
        <v>43616</v>
      </c>
      <c r="C156" s="9">
        <f t="shared" ca="1" si="8"/>
        <v>15973.382824853245</v>
      </c>
      <c r="D156" s="9">
        <f t="shared" ca="1" si="9"/>
        <v>17384.625914627301</v>
      </c>
      <c r="E156" s="10">
        <f t="shared" ca="1" si="10"/>
        <v>0.17128510820096809</v>
      </c>
      <c r="G156" s="8">
        <v>43616</v>
      </c>
      <c r="H156" s="10">
        <f t="shared" ca="1" si="11"/>
        <v>5.0290816997876964E-2</v>
      </c>
    </row>
    <row r="157" spans="2:8" hidden="1" x14ac:dyDescent="0.2">
      <c r="B157" s="8">
        <v>43617</v>
      </c>
      <c r="C157" s="9">
        <f t="shared" ca="1" si="8"/>
        <v>10185.801739527529</v>
      </c>
      <c r="D157" s="9">
        <f t="shared" ca="1" si="9"/>
        <v>17709.651947531867</v>
      </c>
      <c r="E157" s="10">
        <f t="shared" ca="1" si="10"/>
        <v>0.17167052045350681</v>
      </c>
      <c r="G157" s="8">
        <v>43617</v>
      </c>
      <c r="H157" s="10">
        <f t="shared" ca="1" si="11"/>
        <v>5.701580846239078E-2</v>
      </c>
    </row>
    <row r="158" spans="2:8" hidden="1" x14ac:dyDescent="0.2">
      <c r="B158" s="8">
        <v>43618</v>
      </c>
      <c r="C158" s="9">
        <f t="shared" ca="1" si="8"/>
        <v>17790.079144155337</v>
      </c>
      <c r="D158" s="9">
        <f t="shared" ca="1" si="9"/>
        <v>12451.338774926198</v>
      </c>
      <c r="E158" s="10">
        <f t="shared" ca="1" si="10"/>
        <v>0.13207684475157094</v>
      </c>
      <c r="G158" s="8">
        <v>43618</v>
      </c>
      <c r="H158" s="10">
        <f t="shared" ca="1" si="11"/>
        <v>1.6780534313672251E-2</v>
      </c>
    </row>
    <row r="159" spans="2:8" hidden="1" x14ac:dyDescent="0.2">
      <c r="B159" s="8">
        <v>43619</v>
      </c>
      <c r="C159" s="9">
        <f t="shared" ca="1" si="8"/>
        <v>14224.693092627385</v>
      </c>
      <c r="D159" s="9">
        <f t="shared" ca="1" si="9"/>
        <v>17850.970925413974</v>
      </c>
      <c r="E159" s="10">
        <f t="shared" ca="1" si="10"/>
        <v>0.12519532135274972</v>
      </c>
      <c r="G159" s="8">
        <v>43619</v>
      </c>
      <c r="H159" s="10">
        <f t="shared" ca="1" si="11"/>
        <v>6.1039274898762822E-3</v>
      </c>
    </row>
    <row r="160" spans="2:8" hidden="1" x14ac:dyDescent="0.2">
      <c r="B160" s="8">
        <v>43620</v>
      </c>
      <c r="C160" s="9">
        <f t="shared" ca="1" si="8"/>
        <v>17592.978369256485</v>
      </c>
      <c r="D160" s="9">
        <f t="shared" ca="1" si="9"/>
        <v>10526.49406399603</v>
      </c>
      <c r="E160" s="10">
        <f t="shared" ca="1" si="10"/>
        <v>0.10780891000485024</v>
      </c>
      <c r="G160" s="8">
        <v>43620</v>
      </c>
      <c r="H160" s="10">
        <f t="shared" ca="1" si="11"/>
        <v>6.3447292651551787E-2</v>
      </c>
    </row>
    <row r="161" spans="2:8" hidden="1" x14ac:dyDescent="0.2">
      <c r="B161" s="8">
        <v>43621</v>
      </c>
      <c r="C161" s="9">
        <f t="shared" ca="1" si="8"/>
        <v>13847.000270453016</v>
      </c>
      <c r="D161" s="9">
        <f t="shared" ca="1" si="9"/>
        <v>17896.844704630581</v>
      </c>
      <c r="E161" s="10">
        <f t="shared" ca="1" si="10"/>
        <v>0.15589718299727179</v>
      </c>
      <c r="G161" s="8">
        <v>43621</v>
      </c>
      <c r="H161" s="10">
        <f t="shared" ca="1" si="11"/>
        <v>6.1183979843201326E-3</v>
      </c>
    </row>
    <row r="162" spans="2:8" hidden="1" x14ac:dyDescent="0.2">
      <c r="B162" s="8">
        <v>43622</v>
      </c>
      <c r="C162" s="9">
        <f t="shared" ca="1" si="8"/>
        <v>16287.692037500034</v>
      </c>
      <c r="D162" s="9">
        <f t="shared" ca="1" si="9"/>
        <v>12088.06653116728</v>
      </c>
      <c r="E162" s="10">
        <f t="shared" ca="1" si="10"/>
        <v>3.5371286172268521E-2</v>
      </c>
      <c r="G162" s="8">
        <v>43622</v>
      </c>
      <c r="H162" s="10">
        <f t="shared" ca="1" si="11"/>
        <v>8.8928532237916302E-3</v>
      </c>
    </row>
    <row r="163" spans="2:8" hidden="1" x14ac:dyDescent="0.2">
      <c r="B163" s="8">
        <v>43623</v>
      </c>
      <c r="C163" s="9">
        <f t="shared" ca="1" si="8"/>
        <v>16742.71462249475</v>
      </c>
      <c r="D163" s="9">
        <f t="shared" ca="1" si="9"/>
        <v>11065.312173755774</v>
      </c>
      <c r="E163" s="10">
        <f t="shared" ca="1" si="10"/>
        <v>6.9148507051740221E-2</v>
      </c>
      <c r="G163" s="8">
        <v>43623</v>
      </c>
      <c r="H163" s="10">
        <f t="shared" ca="1" si="11"/>
        <v>5.0955486396937956E-2</v>
      </c>
    </row>
    <row r="164" spans="2:8" hidden="1" x14ac:dyDescent="0.2">
      <c r="B164" s="8">
        <v>43624</v>
      </c>
      <c r="C164" s="9">
        <f t="shared" ca="1" si="8"/>
        <v>15102.395068607082</v>
      </c>
      <c r="D164" s="9">
        <f t="shared" ca="1" si="9"/>
        <v>15070.505395264387</v>
      </c>
      <c r="E164" s="10">
        <f t="shared" ca="1" si="10"/>
        <v>3.9642306043480367E-2</v>
      </c>
      <c r="G164" s="8">
        <v>43624</v>
      </c>
      <c r="H164" s="10">
        <f t="shared" ca="1" si="11"/>
        <v>7.5201832892034534E-3</v>
      </c>
    </row>
    <row r="165" spans="2:8" hidden="1" x14ac:dyDescent="0.2">
      <c r="B165" s="8">
        <v>43625</v>
      </c>
      <c r="C165" s="9">
        <f t="shared" ca="1" si="8"/>
        <v>15656.983353124077</v>
      </c>
      <c r="D165" s="9">
        <f t="shared" ca="1" si="9"/>
        <v>15775.892868002804</v>
      </c>
      <c r="E165" s="10">
        <f t="shared" ca="1" si="10"/>
        <v>0.13640260385324732</v>
      </c>
      <c r="G165" s="8">
        <v>43625</v>
      </c>
      <c r="H165" s="10">
        <f t="shared" ca="1" si="11"/>
        <v>3.9323837256399999E-2</v>
      </c>
    </row>
    <row r="166" spans="2:8" hidden="1" x14ac:dyDescent="0.2">
      <c r="B166" s="8">
        <v>43626</v>
      </c>
      <c r="C166" s="9">
        <f t="shared" ca="1" si="8"/>
        <v>13856.579891566422</v>
      </c>
      <c r="D166" s="9">
        <f t="shared" ca="1" si="9"/>
        <v>13914.225133651615</v>
      </c>
      <c r="E166" s="10">
        <f t="shared" ca="1" si="10"/>
        <v>0.29393869574154835</v>
      </c>
      <c r="G166" s="8">
        <v>43626</v>
      </c>
      <c r="H166" s="10">
        <f t="shared" ca="1" si="11"/>
        <v>9.0847131515270363E-4</v>
      </c>
    </row>
    <row r="167" spans="2:8" hidden="1" x14ac:dyDescent="0.2">
      <c r="B167" s="8">
        <v>43627</v>
      </c>
      <c r="C167" s="9">
        <f t="shared" ca="1" si="8"/>
        <v>17692.593931913143</v>
      </c>
      <c r="D167" s="9">
        <f t="shared" ca="1" si="9"/>
        <v>10260.873795967947</v>
      </c>
      <c r="E167" s="10">
        <f t="shared" ca="1" si="10"/>
        <v>5.8110944490206373E-2</v>
      </c>
      <c r="G167" s="8">
        <v>43627</v>
      </c>
      <c r="H167" s="10">
        <f t="shared" ca="1" si="11"/>
        <v>2.7023425428594715E-2</v>
      </c>
    </row>
    <row r="168" spans="2:8" hidden="1" x14ac:dyDescent="0.2">
      <c r="B168" s="8">
        <v>43628</v>
      </c>
      <c r="C168" s="9">
        <f t="shared" ca="1" si="8"/>
        <v>13771.17882360128</v>
      </c>
      <c r="D168" s="9">
        <f t="shared" ca="1" si="9"/>
        <v>16085.254007685551</v>
      </c>
      <c r="E168" s="10">
        <f t="shared" ca="1" si="10"/>
        <v>8.6519927100034033E-2</v>
      </c>
      <c r="G168" s="8">
        <v>43628</v>
      </c>
      <c r="H168" s="10">
        <f t="shared" ca="1" si="11"/>
        <v>6.739104079515372E-2</v>
      </c>
    </row>
    <row r="169" spans="2:8" hidden="1" x14ac:dyDescent="0.2">
      <c r="B169" s="8">
        <v>43629</v>
      </c>
      <c r="C169" s="9">
        <f t="shared" ca="1" si="8"/>
        <v>15117.617760324938</v>
      </c>
      <c r="D169" s="9">
        <f t="shared" ca="1" si="9"/>
        <v>11956.344326381375</v>
      </c>
      <c r="E169" s="10">
        <f t="shared" ca="1" si="10"/>
        <v>7.5605166149479278E-2</v>
      </c>
      <c r="G169" s="8">
        <v>43629</v>
      </c>
      <c r="H169" s="10">
        <f t="shared" ca="1" si="11"/>
        <v>5.552793914604949E-2</v>
      </c>
    </row>
    <row r="170" spans="2:8" hidden="1" x14ac:dyDescent="0.2">
      <c r="B170" s="8">
        <v>43630</v>
      </c>
      <c r="C170" s="9">
        <f t="shared" ca="1" si="8"/>
        <v>15696.003057998503</v>
      </c>
      <c r="D170" s="9">
        <f t="shared" ca="1" si="9"/>
        <v>11619.650451602061</v>
      </c>
      <c r="E170" s="10">
        <f t="shared" ca="1" si="10"/>
        <v>0.20763852542163053</v>
      </c>
      <c r="G170" s="8">
        <v>43630</v>
      </c>
      <c r="H170" s="10">
        <f t="shared" ca="1" si="11"/>
        <v>3.9236688334977642E-2</v>
      </c>
    </row>
    <row r="171" spans="2:8" hidden="1" x14ac:dyDescent="0.2">
      <c r="B171" s="8">
        <v>43631</v>
      </c>
      <c r="C171" s="9">
        <f t="shared" ca="1" si="8"/>
        <v>12101.631901150857</v>
      </c>
      <c r="D171" s="9">
        <f t="shared" ca="1" si="9"/>
        <v>16606.375427865412</v>
      </c>
      <c r="E171" s="10">
        <f t="shared" ca="1" si="10"/>
        <v>0.26676970937551708</v>
      </c>
      <c r="G171" s="8">
        <v>43631</v>
      </c>
      <c r="H171" s="10">
        <f t="shared" ca="1" si="11"/>
        <v>4.855168767955282E-2</v>
      </c>
    </row>
    <row r="172" spans="2:8" hidden="1" x14ac:dyDescent="0.2">
      <c r="B172" s="8">
        <v>43632</v>
      </c>
      <c r="C172" s="9">
        <f t="shared" ca="1" si="8"/>
        <v>12872.618317121554</v>
      </c>
      <c r="D172" s="9">
        <f t="shared" ca="1" si="9"/>
        <v>10375.070680661855</v>
      </c>
      <c r="E172" s="10">
        <f t="shared" ca="1" si="10"/>
        <v>0.29235522509596196</v>
      </c>
      <c r="G172" s="8">
        <v>43632</v>
      </c>
      <c r="H172" s="10">
        <f t="shared" ca="1" si="11"/>
        <v>5.4824360323381005E-2</v>
      </c>
    </row>
    <row r="173" spans="2:8" hidden="1" x14ac:dyDescent="0.2">
      <c r="B173" s="8">
        <v>43633</v>
      </c>
      <c r="C173" s="9">
        <f t="shared" ca="1" si="8"/>
        <v>15563.247985666971</v>
      </c>
      <c r="D173" s="9">
        <f t="shared" ca="1" si="9"/>
        <v>16039.240215773061</v>
      </c>
      <c r="E173" s="10">
        <f t="shared" ca="1" si="10"/>
        <v>0.17183973230416424</v>
      </c>
      <c r="G173" s="8">
        <v>43633</v>
      </c>
      <c r="H173" s="10">
        <f t="shared" ca="1" si="11"/>
        <v>4.0469282889093808E-2</v>
      </c>
    </row>
    <row r="174" spans="2:8" hidden="1" x14ac:dyDescent="0.2">
      <c r="B174" s="8">
        <v>43634</v>
      </c>
      <c r="C174" s="9">
        <f t="shared" ca="1" si="8"/>
        <v>13367.258420890397</v>
      </c>
      <c r="D174" s="9">
        <f t="shared" ca="1" si="9"/>
        <v>13719.547288199114</v>
      </c>
      <c r="E174" s="10">
        <f t="shared" ca="1" si="10"/>
        <v>0.16245068622714659</v>
      </c>
      <c r="G174" s="8">
        <v>43634</v>
      </c>
      <c r="H174" s="10">
        <f t="shared" ca="1" si="11"/>
        <v>2.7812631926714355E-2</v>
      </c>
    </row>
    <row r="175" spans="2:8" hidden="1" x14ac:dyDescent="0.2">
      <c r="B175" s="8">
        <v>43635</v>
      </c>
      <c r="C175" s="9">
        <f t="shared" ca="1" si="8"/>
        <v>12078.264633408213</v>
      </c>
      <c r="D175" s="9">
        <f t="shared" ca="1" si="9"/>
        <v>13456.763938904467</v>
      </c>
      <c r="E175" s="10">
        <f t="shared" ca="1" si="10"/>
        <v>0.12045982146034499</v>
      </c>
      <c r="G175" s="8">
        <v>43635</v>
      </c>
      <c r="H175" s="10">
        <f t="shared" ca="1" si="11"/>
        <v>4.2790926444386652E-2</v>
      </c>
    </row>
    <row r="176" spans="2:8" hidden="1" x14ac:dyDescent="0.2">
      <c r="B176" s="8">
        <v>43636</v>
      </c>
      <c r="C176" s="9">
        <f t="shared" ca="1" si="8"/>
        <v>17273.647614156507</v>
      </c>
      <c r="D176" s="9">
        <f t="shared" ca="1" si="9"/>
        <v>13729.773915284293</v>
      </c>
      <c r="E176" s="10">
        <f t="shared" ca="1" si="10"/>
        <v>6.5359229677956501E-2</v>
      </c>
      <c r="G176" s="8">
        <v>43636</v>
      </c>
      <c r="H176" s="10">
        <f t="shared" ca="1" si="11"/>
        <v>2.8459817036192773E-2</v>
      </c>
    </row>
    <row r="177" spans="2:8" hidden="1" x14ac:dyDescent="0.2">
      <c r="B177" s="8">
        <v>43637</v>
      </c>
      <c r="C177" s="9">
        <f t="shared" ca="1" si="8"/>
        <v>13802.827027047773</v>
      </c>
      <c r="D177" s="9">
        <f t="shared" ca="1" si="9"/>
        <v>11620.031970985467</v>
      </c>
      <c r="E177" s="10">
        <f t="shared" ca="1" si="10"/>
        <v>0.13707247349055449</v>
      </c>
      <c r="G177" s="8">
        <v>43637</v>
      </c>
      <c r="H177" s="10">
        <f t="shared" ca="1" si="11"/>
        <v>3.7518510807219296E-2</v>
      </c>
    </row>
    <row r="178" spans="2:8" hidden="1" x14ac:dyDescent="0.2">
      <c r="B178" s="8">
        <v>43638</v>
      </c>
      <c r="C178" s="9">
        <f t="shared" ca="1" si="8"/>
        <v>16256.277774879734</v>
      </c>
      <c r="D178" s="9">
        <f t="shared" ca="1" si="9"/>
        <v>11623.522555051444</v>
      </c>
      <c r="E178" s="10">
        <f t="shared" ca="1" si="10"/>
        <v>0.29242054336456297</v>
      </c>
      <c r="G178" s="8">
        <v>43638</v>
      </c>
      <c r="H178" s="10">
        <f t="shared" ca="1" si="11"/>
        <v>3.5453810729202138E-2</v>
      </c>
    </row>
    <row r="179" spans="2:8" hidden="1" x14ac:dyDescent="0.2">
      <c r="B179" s="8">
        <v>43639</v>
      </c>
      <c r="C179" s="9">
        <f t="shared" ca="1" si="8"/>
        <v>10861.27131501833</v>
      </c>
      <c r="D179" s="9">
        <f t="shared" ca="1" si="9"/>
        <v>14892.553502155668</v>
      </c>
      <c r="E179" s="10">
        <f t="shared" ca="1" si="10"/>
        <v>0.11823194817266562</v>
      </c>
      <c r="G179" s="8">
        <v>43639</v>
      </c>
      <c r="H179" s="10">
        <f t="shared" ca="1" si="11"/>
        <v>5.0455591688585377E-2</v>
      </c>
    </row>
    <row r="180" spans="2:8" hidden="1" x14ac:dyDescent="0.2">
      <c r="B180" s="8">
        <v>43640</v>
      </c>
      <c r="C180" s="9">
        <f t="shared" ca="1" si="8"/>
        <v>15114.857798963376</v>
      </c>
      <c r="D180" s="9">
        <f t="shared" ca="1" si="9"/>
        <v>15396.922179790137</v>
      </c>
      <c r="E180" s="10">
        <f t="shared" ca="1" si="10"/>
        <v>0.283841424232188</v>
      </c>
      <c r="G180" s="8">
        <v>43640</v>
      </c>
      <c r="H180" s="10">
        <f t="shared" ca="1" si="11"/>
        <v>6.790997363602494E-2</v>
      </c>
    </row>
    <row r="181" spans="2:8" hidden="1" x14ac:dyDescent="0.2">
      <c r="B181" s="8">
        <v>43641</v>
      </c>
      <c r="C181" s="9">
        <f t="shared" ca="1" si="8"/>
        <v>12073.302372624688</v>
      </c>
      <c r="D181" s="9">
        <f t="shared" ca="1" si="9"/>
        <v>13581.328838111383</v>
      </c>
      <c r="E181" s="10">
        <f t="shared" ca="1" si="10"/>
        <v>0.25488496147631767</v>
      </c>
      <c r="G181" s="8">
        <v>43641</v>
      </c>
      <c r="H181" s="10">
        <f t="shared" ca="1" si="11"/>
        <v>1.2970344636100967E-2</v>
      </c>
    </row>
    <row r="182" spans="2:8" hidden="1" x14ac:dyDescent="0.2">
      <c r="B182" s="8">
        <v>43642</v>
      </c>
      <c r="C182" s="9">
        <f t="shared" ca="1" si="8"/>
        <v>17170.412422514579</v>
      </c>
      <c r="D182" s="9">
        <f t="shared" ca="1" si="9"/>
        <v>16550.218398191486</v>
      </c>
      <c r="E182" s="10">
        <f t="shared" ca="1" si="10"/>
        <v>0.20912935529223295</v>
      </c>
      <c r="G182" s="8">
        <v>43642</v>
      </c>
      <c r="H182" s="10">
        <f t="shared" ca="1" si="11"/>
        <v>1.3350851132565742E-2</v>
      </c>
    </row>
    <row r="183" spans="2:8" hidden="1" x14ac:dyDescent="0.2">
      <c r="B183" s="8">
        <v>43643</v>
      </c>
      <c r="C183" s="9">
        <f t="shared" ca="1" si="8"/>
        <v>11170.45255522912</v>
      </c>
      <c r="D183" s="9">
        <f t="shared" ca="1" si="9"/>
        <v>11484.274880010318</v>
      </c>
      <c r="E183" s="10">
        <f t="shared" ca="1" si="10"/>
        <v>3.0475419112358557E-2</v>
      </c>
      <c r="G183" s="8">
        <v>43643</v>
      </c>
      <c r="H183" s="10">
        <f t="shared" ca="1" si="11"/>
        <v>2.9050574132840786E-2</v>
      </c>
    </row>
    <row r="184" spans="2:8" hidden="1" x14ac:dyDescent="0.2">
      <c r="B184" s="8">
        <v>43644</v>
      </c>
      <c r="C184" s="9">
        <f t="shared" ca="1" si="8"/>
        <v>13131.420806581498</v>
      </c>
      <c r="D184" s="9">
        <f t="shared" ca="1" si="9"/>
        <v>12014.579507946995</v>
      </c>
      <c r="E184" s="10">
        <f t="shared" ca="1" si="10"/>
        <v>0.15148999448681189</v>
      </c>
      <c r="G184" s="8">
        <v>43644</v>
      </c>
      <c r="H184" s="10">
        <f t="shared" ca="1" si="11"/>
        <v>6.2764306442882528E-2</v>
      </c>
    </row>
    <row r="185" spans="2:8" hidden="1" x14ac:dyDescent="0.2">
      <c r="B185" s="8">
        <v>43645</v>
      </c>
      <c r="C185" s="9">
        <f t="shared" ca="1" si="8"/>
        <v>11425.87810469382</v>
      </c>
      <c r="D185" s="9">
        <f t="shared" ca="1" si="9"/>
        <v>15507.432028648513</v>
      </c>
      <c r="E185" s="10">
        <f t="shared" ca="1" si="10"/>
        <v>6.3752527759973601E-2</v>
      </c>
      <c r="G185" s="8">
        <v>43645</v>
      </c>
      <c r="H185" s="10">
        <f t="shared" ca="1" si="11"/>
        <v>3.9982104615410158E-2</v>
      </c>
    </row>
    <row r="186" spans="2:8" hidden="1" x14ac:dyDescent="0.2">
      <c r="B186" s="8">
        <v>43646</v>
      </c>
      <c r="C186" s="9">
        <f t="shared" ca="1" si="8"/>
        <v>11756.834613559109</v>
      </c>
      <c r="D186" s="9">
        <f t="shared" ca="1" si="9"/>
        <v>13630.03201956836</v>
      </c>
      <c r="E186" s="10">
        <f t="shared" ca="1" si="10"/>
        <v>0.16651206897972595</v>
      </c>
      <c r="G186" s="8">
        <v>43646</v>
      </c>
      <c r="H186" s="10">
        <f t="shared" ca="1" si="11"/>
        <v>1.6467461550549217E-2</v>
      </c>
    </row>
    <row r="187" spans="2:8" hidden="1" x14ac:dyDescent="0.2">
      <c r="B187" s="8">
        <v>43647</v>
      </c>
      <c r="C187" s="9">
        <f t="shared" ca="1" si="8"/>
        <v>11577.196255538704</v>
      </c>
      <c r="D187" s="9">
        <f t="shared" ca="1" si="9"/>
        <v>13337.336680246603</v>
      </c>
      <c r="E187" s="10">
        <f t="shared" ca="1" si="10"/>
        <v>0.29976260322824655</v>
      </c>
      <c r="G187" s="8">
        <v>43647</v>
      </c>
      <c r="H187" s="10">
        <f t="shared" ca="1" si="11"/>
        <v>1.0448057952244964E-2</v>
      </c>
    </row>
    <row r="188" spans="2:8" hidden="1" x14ac:dyDescent="0.2">
      <c r="B188" s="8">
        <v>43648</v>
      </c>
      <c r="C188" s="9">
        <f t="shared" ca="1" si="8"/>
        <v>11397.231380470866</v>
      </c>
      <c r="D188" s="9">
        <f t="shared" ca="1" si="9"/>
        <v>10943.557615466811</v>
      </c>
      <c r="E188" s="10">
        <f t="shared" ca="1" si="10"/>
        <v>6.2624067751664139E-2</v>
      </c>
      <c r="G188" s="8">
        <v>43648</v>
      </c>
      <c r="H188" s="10">
        <f t="shared" ca="1" si="11"/>
        <v>4.0073173102792126E-2</v>
      </c>
    </row>
    <row r="189" spans="2:8" hidden="1" x14ac:dyDescent="0.2">
      <c r="B189" s="8">
        <v>43649</v>
      </c>
      <c r="C189" s="9">
        <f t="shared" ca="1" si="8"/>
        <v>17604.945810661215</v>
      </c>
      <c r="D189" s="9">
        <f t="shared" ca="1" si="9"/>
        <v>13314.365384400216</v>
      </c>
      <c r="E189" s="10">
        <f t="shared" ca="1" si="10"/>
        <v>0.21707072273537531</v>
      </c>
      <c r="G189" s="8">
        <v>43649</v>
      </c>
      <c r="H189" s="10">
        <f t="shared" ca="1" si="11"/>
        <v>2.7010333811308018E-2</v>
      </c>
    </row>
    <row r="190" spans="2:8" hidden="1" x14ac:dyDescent="0.2">
      <c r="B190" s="8">
        <v>43650</v>
      </c>
      <c r="C190" s="9">
        <f t="shared" ca="1" si="8"/>
        <v>13572.879229510911</v>
      </c>
      <c r="D190" s="9">
        <f t="shared" ca="1" si="9"/>
        <v>12013.032836911887</v>
      </c>
      <c r="E190" s="10">
        <f t="shared" ca="1" si="10"/>
        <v>0.19858335666340218</v>
      </c>
      <c r="G190" s="8">
        <v>43650</v>
      </c>
      <c r="H190" s="10">
        <f t="shared" ca="1" si="11"/>
        <v>5.4279666493546826E-2</v>
      </c>
    </row>
    <row r="191" spans="2:8" hidden="1" x14ac:dyDescent="0.2">
      <c r="B191" s="8">
        <v>43651</v>
      </c>
      <c r="C191" s="9">
        <f t="shared" ca="1" si="8"/>
        <v>11935.886223365842</v>
      </c>
      <c r="D191" s="9">
        <f t="shared" ca="1" si="9"/>
        <v>10798.136404814592</v>
      </c>
      <c r="E191" s="10">
        <f t="shared" ca="1" si="10"/>
        <v>5.601124281720464E-2</v>
      </c>
      <c r="G191" s="8">
        <v>43651</v>
      </c>
      <c r="H191" s="10">
        <f t="shared" ca="1" si="11"/>
        <v>6.6667724285559657E-2</v>
      </c>
    </row>
    <row r="192" spans="2:8" hidden="1" x14ac:dyDescent="0.2">
      <c r="B192" s="8">
        <v>43652</v>
      </c>
      <c r="C192" s="9">
        <f t="shared" ca="1" si="8"/>
        <v>16276.63650656818</v>
      </c>
      <c r="D192" s="9">
        <f t="shared" ca="1" si="9"/>
        <v>10330.986295204528</v>
      </c>
      <c r="E192" s="10">
        <f t="shared" ca="1" si="10"/>
        <v>0.14689018551451266</v>
      </c>
      <c r="G192" s="8">
        <v>43652</v>
      </c>
      <c r="H192" s="10">
        <f t="shared" ca="1" si="11"/>
        <v>1.2874181106389835E-2</v>
      </c>
    </row>
    <row r="193" spans="2:8" hidden="1" x14ac:dyDescent="0.2">
      <c r="B193" s="8">
        <v>43653</v>
      </c>
      <c r="C193" s="9">
        <f t="shared" ca="1" si="8"/>
        <v>15609.924966472321</v>
      </c>
      <c r="D193" s="9">
        <f t="shared" ca="1" si="9"/>
        <v>11236.641092851742</v>
      </c>
      <c r="E193" s="10">
        <f t="shared" ca="1" si="10"/>
        <v>0.29189763203642577</v>
      </c>
      <c r="G193" s="8">
        <v>43653</v>
      </c>
      <c r="H193" s="10">
        <f t="shared" ca="1" si="11"/>
        <v>1.1864674273347038E-2</v>
      </c>
    </row>
    <row r="194" spans="2:8" hidden="1" x14ac:dyDescent="0.2">
      <c r="B194" s="8">
        <v>43654</v>
      </c>
      <c r="C194" s="9">
        <f t="shared" ca="1" si="8"/>
        <v>15970.036478634172</v>
      </c>
      <c r="D194" s="9">
        <f t="shared" ca="1" si="9"/>
        <v>10779.527186230211</v>
      </c>
      <c r="E194" s="10">
        <f t="shared" ca="1" si="10"/>
        <v>0.26657422546035153</v>
      </c>
      <c r="G194" s="8">
        <v>43654</v>
      </c>
      <c r="H194" s="10">
        <f t="shared" ca="1" si="11"/>
        <v>4.7711223195931574E-2</v>
      </c>
    </row>
    <row r="195" spans="2:8" hidden="1" x14ac:dyDescent="0.2">
      <c r="B195" s="8">
        <v>43655</v>
      </c>
      <c r="C195" s="9">
        <f t="shared" ca="1" si="8"/>
        <v>10231.865067256893</v>
      </c>
      <c r="D195" s="9">
        <f t="shared" ca="1" si="9"/>
        <v>13170.739155933286</v>
      </c>
      <c r="E195" s="10">
        <f t="shared" ca="1" si="10"/>
        <v>0.29399649852087723</v>
      </c>
      <c r="G195" s="8">
        <v>43655</v>
      </c>
      <c r="H195" s="10">
        <f t="shared" ca="1" si="11"/>
        <v>8.0908515726088783E-3</v>
      </c>
    </row>
    <row r="196" spans="2:8" hidden="1" x14ac:dyDescent="0.2">
      <c r="B196" s="8">
        <v>43656</v>
      </c>
      <c r="C196" s="9">
        <f t="shared" ca="1" si="8"/>
        <v>15025.413877971696</v>
      </c>
      <c r="D196" s="9">
        <f t="shared" ca="1" si="9"/>
        <v>17616.486924118097</v>
      </c>
      <c r="E196" s="10">
        <f t="shared" ca="1" si="10"/>
        <v>0.15019089880664924</v>
      </c>
      <c r="G196" s="8">
        <v>43656</v>
      </c>
      <c r="H196" s="10">
        <f t="shared" ca="1" si="11"/>
        <v>6.1226448505262758E-2</v>
      </c>
    </row>
    <row r="197" spans="2:8" hidden="1" x14ac:dyDescent="0.2">
      <c r="B197" s="8">
        <v>43657</v>
      </c>
      <c r="C197" s="9">
        <f t="shared" ca="1" si="8"/>
        <v>12665.159843091929</v>
      </c>
      <c r="D197" s="9">
        <f t="shared" ca="1" si="9"/>
        <v>14894.484456321503</v>
      </c>
      <c r="E197" s="10">
        <f t="shared" ca="1" si="10"/>
        <v>0.10435801667041719</v>
      </c>
      <c r="G197" s="8">
        <v>43657</v>
      </c>
      <c r="H197" s="10">
        <f t="shared" ca="1" si="11"/>
        <v>1.087442020302593E-2</v>
      </c>
    </row>
    <row r="198" spans="2:8" hidden="1" x14ac:dyDescent="0.2">
      <c r="B198" s="8">
        <v>43658</v>
      </c>
      <c r="C198" s="9">
        <f t="shared" ca="1" si="8"/>
        <v>11074.892886284691</v>
      </c>
      <c r="D198" s="9">
        <f t="shared" ca="1" si="9"/>
        <v>10150.807334281375</v>
      </c>
      <c r="E198" s="10">
        <f t="shared" ca="1" si="10"/>
        <v>0.22114255689447368</v>
      </c>
      <c r="G198" s="8">
        <v>43658</v>
      </c>
      <c r="H198" s="10">
        <f t="shared" ca="1" si="11"/>
        <v>4.2556530772763446E-2</v>
      </c>
    </row>
    <row r="199" spans="2:8" hidden="1" x14ac:dyDescent="0.2">
      <c r="B199" s="8">
        <v>43659</v>
      </c>
      <c r="C199" s="9">
        <f t="shared" ref="C199:C262" ca="1" si="12">RAND()*(18000-10000)+10000</f>
        <v>14031.392812725429</v>
      </c>
      <c r="D199" s="9">
        <f t="shared" ref="D199:D262" ca="1" si="13">RAND()*(18000-10000)+10000</f>
        <v>14513.385799781452</v>
      </c>
      <c r="E199" s="10">
        <f t="shared" ref="E199:E262" ca="1" si="14">RAND()*(30%-0%)+0%</f>
        <v>0.27987292105248468</v>
      </c>
      <c r="G199" s="8">
        <v>43659</v>
      </c>
      <c r="H199" s="10">
        <f t="shared" ref="H199:H262" ca="1" si="15">RAND()*(7%-0%)+0%</f>
        <v>7.6189044695846426E-4</v>
      </c>
    </row>
    <row r="200" spans="2:8" hidden="1" x14ac:dyDescent="0.2">
      <c r="B200" s="8">
        <v>43660</v>
      </c>
      <c r="C200" s="9">
        <f t="shared" ca="1" si="12"/>
        <v>16679.160809200399</v>
      </c>
      <c r="D200" s="9">
        <f t="shared" ca="1" si="13"/>
        <v>16118.49863930607</v>
      </c>
      <c r="E200" s="10">
        <f t="shared" ca="1" si="14"/>
        <v>8.7947565312132422E-2</v>
      </c>
      <c r="G200" s="8">
        <v>43660</v>
      </c>
      <c r="H200" s="10">
        <f t="shared" ca="1" si="15"/>
        <v>4.4928610635492673E-2</v>
      </c>
    </row>
    <row r="201" spans="2:8" hidden="1" x14ac:dyDescent="0.2">
      <c r="B201" s="8">
        <v>43661</v>
      </c>
      <c r="C201" s="9">
        <f t="shared" ca="1" si="12"/>
        <v>17289.568985494705</v>
      </c>
      <c r="D201" s="9">
        <f t="shared" ca="1" si="13"/>
        <v>15554.060837491925</v>
      </c>
      <c r="E201" s="10">
        <f t="shared" ca="1" si="14"/>
        <v>9.0230793507539001E-2</v>
      </c>
      <c r="G201" s="8">
        <v>43661</v>
      </c>
      <c r="H201" s="10">
        <f t="shared" ca="1" si="15"/>
        <v>3.3083124069594544E-2</v>
      </c>
    </row>
    <row r="202" spans="2:8" hidden="1" x14ac:dyDescent="0.2">
      <c r="B202" s="8">
        <v>43662</v>
      </c>
      <c r="C202" s="9">
        <f t="shared" ca="1" si="12"/>
        <v>11147.058418415576</v>
      </c>
      <c r="D202" s="9">
        <f t="shared" ca="1" si="13"/>
        <v>15585.796094679252</v>
      </c>
      <c r="E202" s="10">
        <f t="shared" ca="1" si="14"/>
        <v>0.27384673990230918</v>
      </c>
      <c r="G202" s="8">
        <v>43662</v>
      </c>
      <c r="H202" s="10">
        <f t="shared" ca="1" si="15"/>
        <v>5.1734272791212593E-2</v>
      </c>
    </row>
    <row r="203" spans="2:8" hidden="1" x14ac:dyDescent="0.2">
      <c r="B203" s="8">
        <v>43663</v>
      </c>
      <c r="C203" s="9">
        <f t="shared" ca="1" si="12"/>
        <v>15853.813412180132</v>
      </c>
      <c r="D203" s="9">
        <f t="shared" ca="1" si="13"/>
        <v>14984.980985676182</v>
      </c>
      <c r="E203" s="10">
        <f t="shared" ca="1" si="14"/>
        <v>0.29595507684171002</v>
      </c>
      <c r="G203" s="8">
        <v>43663</v>
      </c>
      <c r="H203" s="10">
        <f t="shared" ca="1" si="15"/>
        <v>6.091055710986331E-2</v>
      </c>
    </row>
    <row r="204" spans="2:8" hidden="1" x14ac:dyDescent="0.2">
      <c r="B204" s="8">
        <v>43664</v>
      </c>
      <c r="C204" s="9">
        <f t="shared" ca="1" si="12"/>
        <v>13278.078712195073</v>
      </c>
      <c r="D204" s="9">
        <f t="shared" ca="1" si="13"/>
        <v>10317.999343624811</v>
      </c>
      <c r="E204" s="10">
        <f t="shared" ca="1" si="14"/>
        <v>0.2295330664979473</v>
      </c>
      <c r="G204" s="8">
        <v>43664</v>
      </c>
      <c r="H204" s="10">
        <f t="shared" ca="1" si="15"/>
        <v>4.5696539893266601E-2</v>
      </c>
    </row>
    <row r="205" spans="2:8" hidden="1" x14ac:dyDescent="0.2">
      <c r="B205" s="8">
        <v>43665</v>
      </c>
      <c r="C205" s="9">
        <f t="shared" ca="1" si="12"/>
        <v>17459.255720483696</v>
      </c>
      <c r="D205" s="9">
        <f t="shared" ca="1" si="13"/>
        <v>15384.055581412125</v>
      </c>
      <c r="E205" s="10">
        <f t="shared" ca="1" si="14"/>
        <v>0.24597458525151322</v>
      </c>
      <c r="G205" s="8">
        <v>43665</v>
      </c>
      <c r="H205" s="10">
        <f t="shared" ca="1" si="15"/>
        <v>5.2856380913163893E-2</v>
      </c>
    </row>
    <row r="206" spans="2:8" hidden="1" x14ac:dyDescent="0.2">
      <c r="B206" s="8">
        <v>43666</v>
      </c>
      <c r="C206" s="9">
        <f t="shared" ca="1" si="12"/>
        <v>16158.791684558746</v>
      </c>
      <c r="D206" s="9">
        <f t="shared" ca="1" si="13"/>
        <v>13491.797604457643</v>
      </c>
      <c r="E206" s="10">
        <f t="shared" ca="1" si="14"/>
        <v>0.26715906041605042</v>
      </c>
      <c r="G206" s="8">
        <v>43666</v>
      </c>
      <c r="H206" s="10">
        <f t="shared" ca="1" si="15"/>
        <v>2.3226004979212426E-3</v>
      </c>
    </row>
    <row r="207" spans="2:8" hidden="1" x14ac:dyDescent="0.2">
      <c r="B207" s="8">
        <v>43667</v>
      </c>
      <c r="C207" s="9">
        <f t="shared" ca="1" si="12"/>
        <v>11232.262346039988</v>
      </c>
      <c r="D207" s="9">
        <f t="shared" ca="1" si="13"/>
        <v>11175.877490154673</v>
      </c>
      <c r="E207" s="10">
        <f t="shared" ca="1" si="14"/>
        <v>0.29097306540629558</v>
      </c>
      <c r="G207" s="8">
        <v>43667</v>
      </c>
      <c r="H207" s="10">
        <f t="shared" ca="1" si="15"/>
        <v>2.1805941415310864E-2</v>
      </c>
    </row>
    <row r="208" spans="2:8" hidden="1" x14ac:dyDescent="0.2">
      <c r="B208" s="8">
        <v>43668</v>
      </c>
      <c r="C208" s="9">
        <f t="shared" ca="1" si="12"/>
        <v>17793.739906808376</v>
      </c>
      <c r="D208" s="9">
        <f t="shared" ca="1" si="13"/>
        <v>14981.210594819095</v>
      </c>
      <c r="E208" s="10">
        <f t="shared" ca="1" si="14"/>
        <v>5.3786965961573271E-2</v>
      </c>
      <c r="G208" s="8">
        <v>43668</v>
      </c>
      <c r="H208" s="10">
        <f t="shared" ca="1" si="15"/>
        <v>1.1134777137517829E-2</v>
      </c>
    </row>
    <row r="209" spans="2:8" hidden="1" x14ac:dyDescent="0.2">
      <c r="B209" s="8">
        <v>43669</v>
      </c>
      <c r="C209" s="9">
        <f t="shared" ca="1" si="12"/>
        <v>17417.790046176095</v>
      </c>
      <c r="D209" s="9">
        <f t="shared" ca="1" si="13"/>
        <v>16395.208219696222</v>
      </c>
      <c r="E209" s="10">
        <f t="shared" ca="1" si="14"/>
        <v>9.6471044517990961E-2</v>
      </c>
      <c r="G209" s="8">
        <v>43669</v>
      </c>
      <c r="H209" s="10">
        <f t="shared" ca="1" si="15"/>
        <v>6.744249326224154E-2</v>
      </c>
    </row>
    <row r="210" spans="2:8" hidden="1" x14ac:dyDescent="0.2">
      <c r="B210" s="8">
        <v>43670</v>
      </c>
      <c r="C210" s="9">
        <f t="shared" ca="1" si="12"/>
        <v>16701.726826624748</v>
      </c>
      <c r="D210" s="9">
        <f t="shared" ca="1" si="13"/>
        <v>16921.45336744333</v>
      </c>
      <c r="E210" s="10">
        <f t="shared" ca="1" si="14"/>
        <v>0.18207287465742636</v>
      </c>
      <c r="G210" s="8">
        <v>43670</v>
      </c>
      <c r="H210" s="10">
        <f t="shared" ca="1" si="15"/>
        <v>1.793287075797792E-2</v>
      </c>
    </row>
    <row r="211" spans="2:8" hidden="1" x14ac:dyDescent="0.2">
      <c r="B211" s="8">
        <v>43671</v>
      </c>
      <c r="C211" s="9">
        <f t="shared" ca="1" si="12"/>
        <v>17969.799757085311</v>
      </c>
      <c r="D211" s="9">
        <f t="shared" ca="1" si="13"/>
        <v>13609.935469446678</v>
      </c>
      <c r="E211" s="10">
        <f t="shared" ca="1" si="14"/>
        <v>3.0928665270799693E-2</v>
      </c>
      <c r="G211" s="8">
        <v>43671</v>
      </c>
      <c r="H211" s="10">
        <f t="shared" ca="1" si="15"/>
        <v>5.9846054856479487E-2</v>
      </c>
    </row>
    <row r="212" spans="2:8" hidden="1" x14ac:dyDescent="0.2">
      <c r="B212" s="8">
        <v>43672</v>
      </c>
      <c r="C212" s="9">
        <f t="shared" ca="1" si="12"/>
        <v>17405.8509835687</v>
      </c>
      <c r="D212" s="9">
        <f t="shared" ca="1" si="13"/>
        <v>11016.905732901092</v>
      </c>
      <c r="E212" s="10">
        <f t="shared" ca="1" si="14"/>
        <v>0.17982131432400483</v>
      </c>
      <c r="G212" s="8">
        <v>43672</v>
      </c>
      <c r="H212" s="10">
        <f t="shared" ca="1" si="15"/>
        <v>2.4229162606903575E-2</v>
      </c>
    </row>
    <row r="213" spans="2:8" hidden="1" x14ac:dyDescent="0.2">
      <c r="B213" s="8">
        <v>43673</v>
      </c>
      <c r="C213" s="9">
        <f t="shared" ca="1" si="12"/>
        <v>15495.720083579119</v>
      </c>
      <c r="D213" s="9">
        <f t="shared" ca="1" si="13"/>
        <v>12160.722571423048</v>
      </c>
      <c r="E213" s="10">
        <f t="shared" ca="1" si="14"/>
        <v>0.22971953742498047</v>
      </c>
      <c r="G213" s="8">
        <v>43673</v>
      </c>
      <c r="H213" s="10">
        <f t="shared" ca="1" si="15"/>
        <v>4.513056154420253E-2</v>
      </c>
    </row>
    <row r="214" spans="2:8" hidden="1" x14ac:dyDescent="0.2">
      <c r="B214" s="8">
        <v>43674</v>
      </c>
      <c r="C214" s="9">
        <f t="shared" ca="1" si="12"/>
        <v>12189.021003854634</v>
      </c>
      <c r="D214" s="9">
        <f t="shared" ca="1" si="13"/>
        <v>15959.014506798194</v>
      </c>
      <c r="E214" s="10">
        <f t="shared" ca="1" si="14"/>
        <v>0.20105687816868448</v>
      </c>
      <c r="G214" s="8">
        <v>43674</v>
      </c>
      <c r="H214" s="10">
        <f t="shared" ca="1" si="15"/>
        <v>2.2944061871338444E-2</v>
      </c>
    </row>
    <row r="215" spans="2:8" hidden="1" x14ac:dyDescent="0.2">
      <c r="B215" s="8">
        <v>43675</v>
      </c>
      <c r="C215" s="9">
        <f t="shared" ca="1" si="12"/>
        <v>14071.325087504401</v>
      </c>
      <c r="D215" s="9">
        <f t="shared" ca="1" si="13"/>
        <v>13825.234581213395</v>
      </c>
      <c r="E215" s="10">
        <f t="shared" ca="1" si="14"/>
        <v>5.1317317934019266E-2</v>
      </c>
      <c r="G215" s="8">
        <v>43675</v>
      </c>
      <c r="H215" s="10">
        <f t="shared" ca="1" si="15"/>
        <v>3.9005164649725367E-3</v>
      </c>
    </row>
    <row r="216" spans="2:8" hidden="1" x14ac:dyDescent="0.2">
      <c r="B216" s="8">
        <v>43676</v>
      </c>
      <c r="C216" s="9">
        <f t="shared" ca="1" si="12"/>
        <v>15760.399583171347</v>
      </c>
      <c r="D216" s="9">
        <f t="shared" ca="1" si="13"/>
        <v>12853.061733335102</v>
      </c>
      <c r="E216" s="10">
        <f t="shared" ca="1" si="14"/>
        <v>0.29987614346400948</v>
      </c>
      <c r="G216" s="8">
        <v>43676</v>
      </c>
      <c r="H216" s="10">
        <f t="shared" ca="1" si="15"/>
        <v>6.2976471489595301E-2</v>
      </c>
    </row>
    <row r="217" spans="2:8" hidden="1" x14ac:dyDescent="0.2">
      <c r="B217" s="8">
        <v>43677</v>
      </c>
      <c r="C217" s="9">
        <f t="shared" ca="1" si="12"/>
        <v>13089.746198972098</v>
      </c>
      <c r="D217" s="9">
        <f t="shared" ca="1" si="13"/>
        <v>10689.355895169783</v>
      </c>
      <c r="E217" s="10">
        <f t="shared" ca="1" si="14"/>
        <v>8.1074894277435292E-2</v>
      </c>
      <c r="G217" s="8">
        <v>43677</v>
      </c>
      <c r="H217" s="10">
        <f t="shared" ca="1" si="15"/>
        <v>3.9479267438556398E-2</v>
      </c>
    </row>
    <row r="218" spans="2:8" hidden="1" x14ac:dyDescent="0.2">
      <c r="B218" s="8">
        <v>43678</v>
      </c>
      <c r="C218" s="9">
        <f t="shared" ca="1" si="12"/>
        <v>11525.680151030649</v>
      </c>
      <c r="D218" s="9">
        <f t="shared" ca="1" si="13"/>
        <v>16729.366549749131</v>
      </c>
      <c r="E218" s="10">
        <f t="shared" ca="1" si="14"/>
        <v>0.20061681562863273</v>
      </c>
      <c r="G218" s="8">
        <v>43678</v>
      </c>
      <c r="H218" s="10">
        <f t="shared" ca="1" si="15"/>
        <v>2.7072831673981292E-3</v>
      </c>
    </row>
    <row r="219" spans="2:8" hidden="1" x14ac:dyDescent="0.2">
      <c r="B219" s="8">
        <v>43679</v>
      </c>
      <c r="C219" s="9">
        <f t="shared" ca="1" si="12"/>
        <v>16955.037997428328</v>
      </c>
      <c r="D219" s="9">
        <f t="shared" ca="1" si="13"/>
        <v>13421.85329676597</v>
      </c>
      <c r="E219" s="10">
        <f t="shared" ca="1" si="14"/>
        <v>9.9787576538684905E-2</v>
      </c>
      <c r="G219" s="8">
        <v>43679</v>
      </c>
      <c r="H219" s="10">
        <f t="shared" ca="1" si="15"/>
        <v>1.5907153842862114E-2</v>
      </c>
    </row>
    <row r="220" spans="2:8" hidden="1" x14ac:dyDescent="0.2">
      <c r="B220" s="8">
        <v>43680</v>
      </c>
      <c r="C220" s="9">
        <f t="shared" ca="1" si="12"/>
        <v>13834.176602580488</v>
      </c>
      <c r="D220" s="9">
        <f t="shared" ca="1" si="13"/>
        <v>14787.84547551642</v>
      </c>
      <c r="E220" s="10">
        <f t="shared" ca="1" si="14"/>
        <v>6.4813894842823877E-2</v>
      </c>
      <c r="G220" s="8">
        <v>43680</v>
      </c>
      <c r="H220" s="10">
        <f t="shared" ca="1" si="15"/>
        <v>6.6301182837833622E-2</v>
      </c>
    </row>
    <row r="221" spans="2:8" hidden="1" x14ac:dyDescent="0.2">
      <c r="B221" s="8">
        <v>43681</v>
      </c>
      <c r="C221" s="9">
        <f t="shared" ca="1" si="12"/>
        <v>17604.081313071885</v>
      </c>
      <c r="D221" s="9">
        <f t="shared" ca="1" si="13"/>
        <v>12911.69820531434</v>
      </c>
      <c r="E221" s="10">
        <f t="shared" ca="1" si="14"/>
        <v>0.16752028515440479</v>
      </c>
      <c r="G221" s="8">
        <v>43681</v>
      </c>
      <c r="H221" s="10">
        <f t="shared" ca="1" si="15"/>
        <v>1.6025294558739724E-2</v>
      </c>
    </row>
    <row r="222" spans="2:8" hidden="1" x14ac:dyDescent="0.2">
      <c r="B222" s="8">
        <v>43682</v>
      </c>
      <c r="C222" s="9">
        <f t="shared" ca="1" si="12"/>
        <v>10901.851129311797</v>
      </c>
      <c r="D222" s="9">
        <f t="shared" ca="1" si="13"/>
        <v>14257.553173234723</v>
      </c>
      <c r="E222" s="10">
        <f t="shared" ca="1" si="14"/>
        <v>0.11674594537859156</v>
      </c>
      <c r="G222" s="8">
        <v>43682</v>
      </c>
      <c r="H222" s="10">
        <f t="shared" ca="1" si="15"/>
        <v>5.7376109394448205E-2</v>
      </c>
    </row>
    <row r="223" spans="2:8" hidden="1" x14ac:dyDescent="0.2">
      <c r="B223" s="8">
        <v>43683</v>
      </c>
      <c r="C223" s="9">
        <f t="shared" ca="1" si="12"/>
        <v>14459.890305500398</v>
      </c>
      <c r="D223" s="9">
        <f t="shared" ca="1" si="13"/>
        <v>13343.453200901837</v>
      </c>
      <c r="E223" s="10">
        <f t="shared" ca="1" si="14"/>
        <v>0.13056408263885791</v>
      </c>
      <c r="G223" s="8">
        <v>43683</v>
      </c>
      <c r="H223" s="10">
        <f t="shared" ca="1" si="15"/>
        <v>2.1228851251265786E-2</v>
      </c>
    </row>
    <row r="224" spans="2:8" hidden="1" x14ac:dyDescent="0.2">
      <c r="B224" s="8">
        <v>43684</v>
      </c>
      <c r="C224" s="9">
        <f t="shared" ca="1" si="12"/>
        <v>11139.009733521063</v>
      </c>
      <c r="D224" s="9">
        <f t="shared" ca="1" si="13"/>
        <v>10909.726975756545</v>
      </c>
      <c r="E224" s="10">
        <f t="shared" ca="1" si="14"/>
        <v>4.9172653321635618E-2</v>
      </c>
      <c r="G224" s="8">
        <v>43684</v>
      </c>
      <c r="H224" s="10">
        <f t="shared" ca="1" si="15"/>
        <v>1.3634280877876673E-2</v>
      </c>
    </row>
    <row r="225" spans="2:8" hidden="1" x14ac:dyDescent="0.2">
      <c r="B225" s="8">
        <v>43685</v>
      </c>
      <c r="C225" s="9">
        <f t="shared" ca="1" si="12"/>
        <v>10766.133447188209</v>
      </c>
      <c r="D225" s="9">
        <f t="shared" ca="1" si="13"/>
        <v>11401.619698208688</v>
      </c>
      <c r="E225" s="10">
        <f t="shared" ca="1" si="14"/>
        <v>0.29181557100822791</v>
      </c>
      <c r="G225" s="8">
        <v>43685</v>
      </c>
      <c r="H225" s="10">
        <f t="shared" ca="1" si="15"/>
        <v>2.273341508729923E-2</v>
      </c>
    </row>
    <row r="226" spans="2:8" hidden="1" x14ac:dyDescent="0.2">
      <c r="B226" s="8">
        <v>43686</v>
      </c>
      <c r="C226" s="9">
        <f t="shared" ca="1" si="12"/>
        <v>13982.2719364847</v>
      </c>
      <c r="D226" s="9">
        <f t="shared" ca="1" si="13"/>
        <v>16246.647178736654</v>
      </c>
      <c r="E226" s="10">
        <f t="shared" ca="1" si="14"/>
        <v>0.19721878381559491</v>
      </c>
      <c r="G226" s="8">
        <v>43686</v>
      </c>
      <c r="H226" s="10">
        <f t="shared" ca="1" si="15"/>
        <v>3.4445309123864183E-2</v>
      </c>
    </row>
    <row r="227" spans="2:8" hidden="1" x14ac:dyDescent="0.2">
      <c r="B227" s="8">
        <v>43687</v>
      </c>
      <c r="C227" s="9">
        <f t="shared" ca="1" si="12"/>
        <v>16692.960577540787</v>
      </c>
      <c r="D227" s="9">
        <f t="shared" ca="1" si="13"/>
        <v>13495.666260231468</v>
      </c>
      <c r="E227" s="10">
        <f t="shared" ca="1" si="14"/>
        <v>2.6511229233326706E-2</v>
      </c>
      <c r="G227" s="8">
        <v>43687</v>
      </c>
      <c r="H227" s="10">
        <f t="shared" ca="1" si="15"/>
        <v>5.7910835351060473E-2</v>
      </c>
    </row>
    <row r="228" spans="2:8" hidden="1" x14ac:dyDescent="0.2">
      <c r="B228" s="8">
        <v>43688</v>
      </c>
      <c r="C228" s="9">
        <f t="shared" ca="1" si="12"/>
        <v>12189.682269188312</v>
      </c>
      <c r="D228" s="9">
        <f t="shared" ca="1" si="13"/>
        <v>10640.668032228547</v>
      </c>
      <c r="E228" s="10">
        <f t="shared" ca="1" si="14"/>
        <v>0.12100757819625928</v>
      </c>
      <c r="G228" s="8">
        <v>43688</v>
      </c>
      <c r="H228" s="10">
        <f t="shared" ca="1" si="15"/>
        <v>5.3723829935842633E-2</v>
      </c>
    </row>
    <row r="229" spans="2:8" hidden="1" x14ac:dyDescent="0.2">
      <c r="B229" s="8">
        <v>43689</v>
      </c>
      <c r="C229" s="9">
        <f t="shared" ca="1" si="12"/>
        <v>14273.569913066694</v>
      </c>
      <c r="D229" s="9">
        <f t="shared" ca="1" si="13"/>
        <v>13983.569546778454</v>
      </c>
      <c r="E229" s="10">
        <f t="shared" ca="1" si="14"/>
        <v>0.27903955483436083</v>
      </c>
      <c r="G229" s="8">
        <v>43689</v>
      </c>
      <c r="H229" s="10">
        <f t="shared" ca="1" si="15"/>
        <v>5.0579587835680902E-2</v>
      </c>
    </row>
    <row r="230" spans="2:8" hidden="1" x14ac:dyDescent="0.2">
      <c r="B230" s="8">
        <v>43690</v>
      </c>
      <c r="C230" s="9">
        <f t="shared" ca="1" si="12"/>
        <v>11456.127047435042</v>
      </c>
      <c r="D230" s="9">
        <f t="shared" ca="1" si="13"/>
        <v>10871.150305287623</v>
      </c>
      <c r="E230" s="10">
        <f t="shared" ca="1" si="14"/>
        <v>4.2023502900152644E-2</v>
      </c>
      <c r="G230" s="8">
        <v>43690</v>
      </c>
      <c r="H230" s="10">
        <f t="shared" ca="1" si="15"/>
        <v>5.9990012289886048E-2</v>
      </c>
    </row>
    <row r="231" spans="2:8" hidden="1" x14ac:dyDescent="0.2">
      <c r="B231" s="8">
        <v>43691</v>
      </c>
      <c r="C231" s="9">
        <f t="shared" ca="1" si="12"/>
        <v>10296.099866632901</v>
      </c>
      <c r="D231" s="9">
        <f t="shared" ca="1" si="13"/>
        <v>13646.413302727049</v>
      </c>
      <c r="E231" s="10">
        <f t="shared" ca="1" si="14"/>
        <v>0.23435318772809524</v>
      </c>
      <c r="G231" s="8">
        <v>43691</v>
      </c>
      <c r="H231" s="10">
        <f t="shared" ca="1" si="15"/>
        <v>5.9222695853711989E-2</v>
      </c>
    </row>
    <row r="232" spans="2:8" hidden="1" x14ac:dyDescent="0.2">
      <c r="B232" s="8">
        <v>43692</v>
      </c>
      <c r="C232" s="9">
        <f t="shared" ca="1" si="12"/>
        <v>11768.399277107123</v>
      </c>
      <c r="D232" s="9">
        <f t="shared" ca="1" si="13"/>
        <v>12344.290428460823</v>
      </c>
      <c r="E232" s="10">
        <f t="shared" ca="1" si="14"/>
        <v>4.4778902169265812E-2</v>
      </c>
      <c r="G232" s="8">
        <v>43692</v>
      </c>
      <c r="H232" s="10">
        <f t="shared" ca="1" si="15"/>
        <v>5.9046102497220483E-2</v>
      </c>
    </row>
    <row r="233" spans="2:8" hidden="1" x14ac:dyDescent="0.2">
      <c r="B233" s="8">
        <v>43693</v>
      </c>
      <c r="C233" s="9">
        <f t="shared" ca="1" si="12"/>
        <v>10652.745718159516</v>
      </c>
      <c r="D233" s="9">
        <f t="shared" ca="1" si="13"/>
        <v>11292.486062737871</v>
      </c>
      <c r="E233" s="10">
        <f t="shared" ca="1" si="14"/>
        <v>0.13109483182994627</v>
      </c>
      <c r="G233" s="8">
        <v>43693</v>
      </c>
      <c r="H233" s="10">
        <f t="shared" ca="1" si="15"/>
        <v>6.0681565646920468E-2</v>
      </c>
    </row>
    <row r="234" spans="2:8" hidden="1" x14ac:dyDescent="0.2">
      <c r="B234" s="8">
        <v>43694</v>
      </c>
      <c r="C234" s="9">
        <f t="shared" ca="1" si="12"/>
        <v>10227.426653750723</v>
      </c>
      <c r="D234" s="9">
        <f t="shared" ca="1" si="13"/>
        <v>12804.653954999652</v>
      </c>
      <c r="E234" s="10">
        <f t="shared" ca="1" si="14"/>
        <v>0.11101220895478875</v>
      </c>
      <c r="G234" s="8">
        <v>43694</v>
      </c>
      <c r="H234" s="10">
        <f t="shared" ca="1" si="15"/>
        <v>5.7763819208782125E-2</v>
      </c>
    </row>
    <row r="235" spans="2:8" hidden="1" x14ac:dyDescent="0.2">
      <c r="B235" s="8">
        <v>43695</v>
      </c>
      <c r="C235" s="9">
        <f t="shared" ca="1" si="12"/>
        <v>10400.774626552702</v>
      </c>
      <c r="D235" s="9">
        <f t="shared" ca="1" si="13"/>
        <v>10829.510793292451</v>
      </c>
      <c r="E235" s="10">
        <f t="shared" ca="1" si="14"/>
        <v>0.19578020593511813</v>
      </c>
      <c r="G235" s="8">
        <v>43695</v>
      </c>
      <c r="H235" s="10">
        <f t="shared" ca="1" si="15"/>
        <v>2.7148068554850947E-2</v>
      </c>
    </row>
    <row r="236" spans="2:8" hidden="1" x14ac:dyDescent="0.2">
      <c r="B236" s="8">
        <v>43696</v>
      </c>
      <c r="C236" s="9">
        <f t="shared" ca="1" si="12"/>
        <v>12547.199788865099</v>
      </c>
      <c r="D236" s="9">
        <f t="shared" ca="1" si="13"/>
        <v>13377.702385250976</v>
      </c>
      <c r="E236" s="10">
        <f t="shared" ca="1" si="14"/>
        <v>0.21778254234753391</v>
      </c>
      <c r="G236" s="8">
        <v>43696</v>
      </c>
      <c r="H236" s="10">
        <f t="shared" ca="1" si="15"/>
        <v>5.1131209667468203E-2</v>
      </c>
    </row>
    <row r="237" spans="2:8" hidden="1" x14ac:dyDescent="0.2">
      <c r="B237" s="8">
        <v>43697</v>
      </c>
      <c r="C237" s="9">
        <f t="shared" ca="1" si="12"/>
        <v>13758.105392668111</v>
      </c>
      <c r="D237" s="9">
        <f t="shared" ca="1" si="13"/>
        <v>13800.638951214143</v>
      </c>
      <c r="E237" s="10">
        <f t="shared" ca="1" si="14"/>
        <v>0.26448369068406608</v>
      </c>
      <c r="G237" s="8">
        <v>43697</v>
      </c>
      <c r="H237" s="10">
        <f t="shared" ca="1" si="15"/>
        <v>4.6154843156559815E-2</v>
      </c>
    </row>
    <row r="238" spans="2:8" hidden="1" x14ac:dyDescent="0.2">
      <c r="B238" s="8">
        <v>43698</v>
      </c>
      <c r="C238" s="9">
        <f t="shared" ca="1" si="12"/>
        <v>17274.350034429881</v>
      </c>
      <c r="D238" s="9">
        <f t="shared" ca="1" si="13"/>
        <v>12300.026557610487</v>
      </c>
      <c r="E238" s="10">
        <f t="shared" ca="1" si="14"/>
        <v>0.12181883050883842</v>
      </c>
      <c r="G238" s="8">
        <v>43698</v>
      </c>
      <c r="H238" s="10">
        <f t="shared" ca="1" si="15"/>
        <v>3.5142357003822927E-2</v>
      </c>
    </row>
    <row r="239" spans="2:8" hidden="1" x14ac:dyDescent="0.2">
      <c r="B239" s="8">
        <v>43699</v>
      </c>
      <c r="C239" s="9">
        <f t="shared" ca="1" si="12"/>
        <v>14777.903970790001</v>
      </c>
      <c r="D239" s="9">
        <f t="shared" ca="1" si="13"/>
        <v>12200.873275553548</v>
      </c>
      <c r="E239" s="10">
        <f t="shared" ca="1" si="14"/>
        <v>0.21971111795327028</v>
      </c>
      <c r="G239" s="8">
        <v>43699</v>
      </c>
      <c r="H239" s="10">
        <f t="shared" ca="1" si="15"/>
        <v>4.4683297085599892E-2</v>
      </c>
    </row>
    <row r="240" spans="2:8" hidden="1" x14ac:dyDescent="0.2">
      <c r="B240" s="8">
        <v>43700</v>
      </c>
      <c r="C240" s="9">
        <f t="shared" ca="1" si="12"/>
        <v>17499.941505725721</v>
      </c>
      <c r="D240" s="9">
        <f t="shared" ca="1" si="13"/>
        <v>13443.519452963201</v>
      </c>
      <c r="E240" s="10">
        <f t="shared" ca="1" si="14"/>
        <v>0.28503197904266253</v>
      </c>
      <c r="G240" s="8">
        <v>43700</v>
      </c>
      <c r="H240" s="10">
        <f t="shared" ca="1" si="15"/>
        <v>3.2519118343976153E-2</v>
      </c>
    </row>
    <row r="241" spans="2:8" hidden="1" x14ac:dyDescent="0.2">
      <c r="B241" s="8">
        <v>43701</v>
      </c>
      <c r="C241" s="9">
        <f t="shared" ca="1" si="12"/>
        <v>14895.700073195245</v>
      </c>
      <c r="D241" s="9">
        <f t="shared" ca="1" si="13"/>
        <v>12640.513967096129</v>
      </c>
      <c r="E241" s="10">
        <f t="shared" ca="1" si="14"/>
        <v>0.29404377696385103</v>
      </c>
      <c r="G241" s="8">
        <v>43701</v>
      </c>
      <c r="H241" s="10">
        <f t="shared" ca="1" si="15"/>
        <v>1.273903715979333E-2</v>
      </c>
    </row>
    <row r="242" spans="2:8" hidden="1" x14ac:dyDescent="0.2">
      <c r="B242" s="8">
        <v>43702</v>
      </c>
      <c r="C242" s="9">
        <f t="shared" ca="1" si="12"/>
        <v>10913.398342361625</v>
      </c>
      <c r="D242" s="9">
        <f t="shared" ca="1" si="13"/>
        <v>11127.808886711959</v>
      </c>
      <c r="E242" s="10">
        <f t="shared" ca="1" si="14"/>
        <v>0.19341284034753156</v>
      </c>
      <c r="G242" s="8">
        <v>43702</v>
      </c>
      <c r="H242" s="10">
        <f t="shared" ca="1" si="15"/>
        <v>2.6061303948585336E-2</v>
      </c>
    </row>
    <row r="243" spans="2:8" hidden="1" x14ac:dyDescent="0.2">
      <c r="B243" s="8">
        <v>43703</v>
      </c>
      <c r="C243" s="9">
        <f t="shared" ca="1" si="12"/>
        <v>12542.775247010548</v>
      </c>
      <c r="D243" s="9">
        <f t="shared" ca="1" si="13"/>
        <v>12058.333517140043</v>
      </c>
      <c r="E243" s="10">
        <f t="shared" ca="1" si="14"/>
        <v>3.1392037939113368E-2</v>
      </c>
      <c r="G243" s="8">
        <v>43703</v>
      </c>
      <c r="H243" s="10">
        <f t="shared" ca="1" si="15"/>
        <v>4.7742917796560022E-2</v>
      </c>
    </row>
    <row r="244" spans="2:8" hidden="1" x14ac:dyDescent="0.2">
      <c r="B244" s="8">
        <v>43704</v>
      </c>
      <c r="C244" s="9">
        <f t="shared" ca="1" si="12"/>
        <v>11276.649082869377</v>
      </c>
      <c r="D244" s="9">
        <f t="shared" ca="1" si="13"/>
        <v>10077.641472976382</v>
      </c>
      <c r="E244" s="10">
        <f t="shared" ca="1" si="14"/>
        <v>0.22288330521085162</v>
      </c>
      <c r="G244" s="8">
        <v>43704</v>
      </c>
      <c r="H244" s="10">
        <f t="shared" ca="1" si="15"/>
        <v>4.3815677812158928E-2</v>
      </c>
    </row>
    <row r="245" spans="2:8" hidden="1" x14ac:dyDescent="0.2">
      <c r="B245" s="8">
        <v>43705</v>
      </c>
      <c r="C245" s="9">
        <f t="shared" ca="1" si="12"/>
        <v>13559.553289221294</v>
      </c>
      <c r="D245" s="9">
        <f t="shared" ca="1" si="13"/>
        <v>14009.138735033681</v>
      </c>
      <c r="E245" s="10">
        <f t="shared" ca="1" si="14"/>
        <v>8.351683558366596E-2</v>
      </c>
      <c r="G245" s="8">
        <v>43705</v>
      </c>
      <c r="H245" s="10">
        <f t="shared" ca="1" si="15"/>
        <v>2.6747723994290321E-2</v>
      </c>
    </row>
    <row r="246" spans="2:8" hidden="1" x14ac:dyDescent="0.2">
      <c r="B246" s="8">
        <v>43706</v>
      </c>
      <c r="C246" s="9">
        <f t="shared" ca="1" si="12"/>
        <v>14887.12890779653</v>
      </c>
      <c r="D246" s="9">
        <f t="shared" ca="1" si="13"/>
        <v>14935.545420136135</v>
      </c>
      <c r="E246" s="10">
        <f t="shared" ca="1" si="14"/>
        <v>0.26514312829064618</v>
      </c>
      <c r="G246" s="8">
        <v>43706</v>
      </c>
      <c r="H246" s="10">
        <f t="shared" ca="1" si="15"/>
        <v>1.5345954944001785E-2</v>
      </c>
    </row>
    <row r="247" spans="2:8" hidden="1" x14ac:dyDescent="0.2">
      <c r="B247" s="8">
        <v>43707</v>
      </c>
      <c r="C247" s="9">
        <f t="shared" ca="1" si="12"/>
        <v>13135.719998688472</v>
      </c>
      <c r="D247" s="9">
        <f t="shared" ca="1" si="13"/>
        <v>13229.863614602184</v>
      </c>
      <c r="E247" s="10">
        <f t="shared" ca="1" si="14"/>
        <v>6.411639234620449E-2</v>
      </c>
      <c r="G247" s="8">
        <v>43707</v>
      </c>
      <c r="H247" s="10">
        <f t="shared" ca="1" si="15"/>
        <v>3.4314572281138461E-2</v>
      </c>
    </row>
    <row r="248" spans="2:8" hidden="1" x14ac:dyDescent="0.2">
      <c r="B248" s="8">
        <v>43708</v>
      </c>
      <c r="C248" s="9">
        <f t="shared" ca="1" si="12"/>
        <v>13855.285429815218</v>
      </c>
      <c r="D248" s="9">
        <f t="shared" ca="1" si="13"/>
        <v>10535.781625036761</v>
      </c>
      <c r="E248" s="10">
        <f t="shared" ca="1" si="14"/>
        <v>0.24485283689358561</v>
      </c>
      <c r="G248" s="8">
        <v>43708</v>
      </c>
      <c r="H248" s="10">
        <f t="shared" ca="1" si="15"/>
        <v>1.9191643859271419E-2</v>
      </c>
    </row>
    <row r="249" spans="2:8" hidden="1" x14ac:dyDescent="0.2">
      <c r="B249" s="8">
        <v>43709</v>
      </c>
      <c r="C249" s="9">
        <f t="shared" ca="1" si="12"/>
        <v>16783.91832454444</v>
      </c>
      <c r="D249" s="9">
        <f t="shared" ca="1" si="13"/>
        <v>11796.701862304932</v>
      </c>
      <c r="E249" s="10">
        <f t="shared" ca="1" si="14"/>
        <v>0.24476714544721162</v>
      </c>
      <c r="G249" s="8">
        <v>43709</v>
      </c>
      <c r="H249" s="10">
        <f t="shared" ca="1" si="15"/>
        <v>6.789246708179407E-2</v>
      </c>
    </row>
    <row r="250" spans="2:8" hidden="1" x14ac:dyDescent="0.2">
      <c r="B250" s="8">
        <v>43710</v>
      </c>
      <c r="C250" s="9">
        <f t="shared" ca="1" si="12"/>
        <v>13244.064980150843</v>
      </c>
      <c r="D250" s="9">
        <f t="shared" ca="1" si="13"/>
        <v>15323.167080124174</v>
      </c>
      <c r="E250" s="10">
        <f t="shared" ca="1" si="14"/>
        <v>0.20163154117847401</v>
      </c>
      <c r="G250" s="8">
        <v>43710</v>
      </c>
      <c r="H250" s="10">
        <f t="shared" ca="1" si="15"/>
        <v>3.2739402574295612E-2</v>
      </c>
    </row>
    <row r="251" spans="2:8" hidden="1" x14ac:dyDescent="0.2">
      <c r="B251" s="8">
        <v>43711</v>
      </c>
      <c r="C251" s="9">
        <f t="shared" ca="1" si="12"/>
        <v>11622.693636755146</v>
      </c>
      <c r="D251" s="9">
        <f t="shared" ca="1" si="13"/>
        <v>15540.681738386224</v>
      </c>
      <c r="E251" s="10">
        <f t="shared" ca="1" si="14"/>
        <v>0.25436370763274702</v>
      </c>
      <c r="G251" s="8">
        <v>43711</v>
      </c>
      <c r="H251" s="10">
        <f t="shared" ca="1" si="15"/>
        <v>5.677994403811655E-2</v>
      </c>
    </row>
    <row r="252" spans="2:8" hidden="1" x14ac:dyDescent="0.2">
      <c r="B252" s="8">
        <v>43712</v>
      </c>
      <c r="C252" s="9">
        <f t="shared" ca="1" si="12"/>
        <v>14854.722589354747</v>
      </c>
      <c r="D252" s="9">
        <f t="shared" ca="1" si="13"/>
        <v>16061.776833936286</v>
      </c>
      <c r="E252" s="10">
        <f t="shared" ca="1" si="14"/>
        <v>2.2384006318094007E-2</v>
      </c>
      <c r="G252" s="8">
        <v>43712</v>
      </c>
      <c r="H252" s="10">
        <f t="shared" ca="1" si="15"/>
        <v>1.5955502626612581E-2</v>
      </c>
    </row>
    <row r="253" spans="2:8" hidden="1" x14ac:dyDescent="0.2">
      <c r="B253" s="8">
        <v>43713</v>
      </c>
      <c r="C253" s="9">
        <f t="shared" ca="1" si="12"/>
        <v>16318.280931055611</v>
      </c>
      <c r="D253" s="9">
        <f t="shared" ca="1" si="13"/>
        <v>16213.214782628351</v>
      </c>
      <c r="E253" s="10">
        <f t="shared" ca="1" si="14"/>
        <v>0.25330238314664122</v>
      </c>
      <c r="G253" s="8">
        <v>43713</v>
      </c>
      <c r="H253" s="10">
        <f t="shared" ca="1" si="15"/>
        <v>6.9686285830957793E-3</v>
      </c>
    </row>
    <row r="254" spans="2:8" hidden="1" x14ac:dyDescent="0.2">
      <c r="B254" s="8">
        <v>43714</v>
      </c>
      <c r="C254" s="9">
        <f t="shared" ca="1" si="12"/>
        <v>11617.812629118076</v>
      </c>
      <c r="D254" s="9">
        <f t="shared" ca="1" si="13"/>
        <v>12634.489044368362</v>
      </c>
      <c r="E254" s="10">
        <f t="shared" ca="1" si="14"/>
        <v>0.16793098081311966</v>
      </c>
      <c r="G254" s="8">
        <v>43714</v>
      </c>
      <c r="H254" s="10">
        <f t="shared" ca="1" si="15"/>
        <v>2.354293085390954E-2</v>
      </c>
    </row>
    <row r="255" spans="2:8" hidden="1" x14ac:dyDescent="0.2">
      <c r="B255" s="8">
        <v>43715</v>
      </c>
      <c r="C255" s="9">
        <f t="shared" ca="1" si="12"/>
        <v>17285.994753566374</v>
      </c>
      <c r="D255" s="9">
        <f t="shared" ca="1" si="13"/>
        <v>14135.185546065977</v>
      </c>
      <c r="E255" s="10">
        <f t="shared" ca="1" si="14"/>
        <v>8.2785961113525208E-2</v>
      </c>
      <c r="G255" s="8">
        <v>43715</v>
      </c>
      <c r="H255" s="10">
        <f t="shared" ca="1" si="15"/>
        <v>6.3882914198756663E-2</v>
      </c>
    </row>
    <row r="256" spans="2:8" hidden="1" x14ac:dyDescent="0.2">
      <c r="B256" s="8">
        <v>43716</v>
      </c>
      <c r="C256" s="9">
        <f t="shared" ca="1" si="12"/>
        <v>11945.583019560268</v>
      </c>
      <c r="D256" s="9">
        <f t="shared" ca="1" si="13"/>
        <v>12861.227168403157</v>
      </c>
      <c r="E256" s="10">
        <f t="shared" ca="1" si="14"/>
        <v>0.17435907398074099</v>
      </c>
      <c r="G256" s="8">
        <v>43716</v>
      </c>
      <c r="H256" s="10">
        <f t="shared" ca="1" si="15"/>
        <v>4.7371757746428059E-2</v>
      </c>
    </row>
    <row r="257" spans="2:8" hidden="1" x14ac:dyDescent="0.2">
      <c r="B257" s="8">
        <v>43717</v>
      </c>
      <c r="C257" s="9">
        <f t="shared" ca="1" si="12"/>
        <v>17146.346140223377</v>
      </c>
      <c r="D257" s="9">
        <f t="shared" ca="1" si="13"/>
        <v>11148.091274291908</v>
      </c>
      <c r="E257" s="10">
        <f t="shared" ca="1" si="14"/>
        <v>0.29279289650087131</v>
      </c>
      <c r="G257" s="8">
        <v>43717</v>
      </c>
      <c r="H257" s="10">
        <f t="shared" ca="1" si="15"/>
        <v>3.2213604967370205E-2</v>
      </c>
    </row>
    <row r="258" spans="2:8" hidden="1" x14ac:dyDescent="0.2">
      <c r="B258" s="8">
        <v>43718</v>
      </c>
      <c r="C258" s="9">
        <f t="shared" ca="1" si="12"/>
        <v>12105.125532179942</v>
      </c>
      <c r="D258" s="9">
        <f t="shared" ca="1" si="13"/>
        <v>15205.896716262647</v>
      </c>
      <c r="E258" s="10">
        <f t="shared" ca="1" si="14"/>
        <v>0.23608017597895925</v>
      </c>
      <c r="G258" s="8">
        <v>43718</v>
      </c>
      <c r="H258" s="10">
        <f t="shared" ca="1" si="15"/>
        <v>2.9402340324897174E-2</v>
      </c>
    </row>
    <row r="259" spans="2:8" hidden="1" x14ac:dyDescent="0.2">
      <c r="B259" s="8">
        <v>43719</v>
      </c>
      <c r="C259" s="9">
        <f t="shared" ca="1" si="12"/>
        <v>16084.676295099604</v>
      </c>
      <c r="D259" s="9">
        <f t="shared" ca="1" si="13"/>
        <v>13320.77516651965</v>
      </c>
      <c r="E259" s="10">
        <f t="shared" ca="1" si="14"/>
        <v>0.29419339187427024</v>
      </c>
      <c r="G259" s="8">
        <v>43719</v>
      </c>
      <c r="H259" s="10">
        <f t="shared" ca="1" si="15"/>
        <v>2.2133761549923626E-2</v>
      </c>
    </row>
    <row r="260" spans="2:8" hidden="1" x14ac:dyDescent="0.2">
      <c r="B260" s="8">
        <v>43720</v>
      </c>
      <c r="C260" s="9">
        <f t="shared" ca="1" si="12"/>
        <v>10357.26096051352</v>
      </c>
      <c r="D260" s="9">
        <f t="shared" ca="1" si="13"/>
        <v>14712.086420997613</v>
      </c>
      <c r="E260" s="10">
        <f t="shared" ca="1" si="14"/>
        <v>3.2415370337599447E-2</v>
      </c>
      <c r="G260" s="8">
        <v>43720</v>
      </c>
      <c r="H260" s="10">
        <f t="shared" ca="1" si="15"/>
        <v>6.3589352472722724E-2</v>
      </c>
    </row>
    <row r="261" spans="2:8" hidden="1" x14ac:dyDescent="0.2">
      <c r="B261" s="8">
        <v>43721</v>
      </c>
      <c r="C261" s="9">
        <f t="shared" ca="1" si="12"/>
        <v>10938.795874886933</v>
      </c>
      <c r="D261" s="9">
        <f t="shared" ca="1" si="13"/>
        <v>14492.769031713726</v>
      </c>
      <c r="E261" s="10">
        <f t="shared" ca="1" si="14"/>
        <v>0.15958797601748317</v>
      </c>
      <c r="G261" s="8">
        <v>43721</v>
      </c>
      <c r="H261" s="10">
        <f t="shared" ca="1" si="15"/>
        <v>4.7873044293955197E-2</v>
      </c>
    </row>
    <row r="262" spans="2:8" hidden="1" x14ac:dyDescent="0.2">
      <c r="B262" s="8">
        <v>43722</v>
      </c>
      <c r="C262" s="9">
        <f t="shared" ca="1" si="12"/>
        <v>11667.715975897623</v>
      </c>
      <c r="D262" s="9">
        <f t="shared" ca="1" si="13"/>
        <v>11239.151385342666</v>
      </c>
      <c r="E262" s="10">
        <f t="shared" ca="1" si="14"/>
        <v>0.15179998122972682</v>
      </c>
      <c r="G262" s="8">
        <v>43722</v>
      </c>
      <c r="H262" s="10">
        <f t="shared" ca="1" si="15"/>
        <v>6.8913612226202778E-2</v>
      </c>
    </row>
    <row r="263" spans="2:8" hidden="1" x14ac:dyDescent="0.2">
      <c r="B263" s="8">
        <v>43723</v>
      </c>
      <c r="C263" s="9">
        <f t="shared" ref="C263:C326" ca="1" si="16">RAND()*(18000-10000)+10000</f>
        <v>14009.861019872773</v>
      </c>
      <c r="D263" s="9">
        <f t="shared" ref="D263:D326" ca="1" si="17">RAND()*(18000-10000)+10000</f>
        <v>17238.999877028586</v>
      </c>
      <c r="E263" s="10">
        <f t="shared" ref="E263:E326" ca="1" si="18">RAND()*(30%-0%)+0%</f>
        <v>0.18082338426356181</v>
      </c>
      <c r="G263" s="8">
        <v>43723</v>
      </c>
      <c r="H263" s="10">
        <f t="shared" ref="H263:H326" ca="1" si="19">RAND()*(7%-0%)+0%</f>
        <v>2.9926833705990977E-3</v>
      </c>
    </row>
    <row r="264" spans="2:8" hidden="1" x14ac:dyDescent="0.2">
      <c r="B264" s="8">
        <v>43724</v>
      </c>
      <c r="C264" s="9">
        <f t="shared" ca="1" si="16"/>
        <v>17888.278895734889</v>
      </c>
      <c r="D264" s="9">
        <f t="shared" ca="1" si="17"/>
        <v>16296.345772321587</v>
      </c>
      <c r="E264" s="10">
        <f t="shared" ca="1" si="18"/>
        <v>0.20170253818620881</v>
      </c>
      <c r="G264" s="8">
        <v>43724</v>
      </c>
      <c r="H264" s="10">
        <f t="shared" ca="1" si="19"/>
        <v>6.4305038359842234E-2</v>
      </c>
    </row>
    <row r="265" spans="2:8" hidden="1" x14ac:dyDescent="0.2">
      <c r="B265" s="8">
        <v>43725</v>
      </c>
      <c r="C265" s="9">
        <f t="shared" ca="1" si="16"/>
        <v>12472.029818542653</v>
      </c>
      <c r="D265" s="9">
        <f t="shared" ca="1" si="17"/>
        <v>17898.055448691241</v>
      </c>
      <c r="E265" s="10">
        <f t="shared" ca="1" si="18"/>
        <v>5.5441446637322388E-2</v>
      </c>
      <c r="G265" s="8">
        <v>43725</v>
      </c>
      <c r="H265" s="10">
        <f t="shared" ca="1" si="19"/>
        <v>5.8305532458393178E-2</v>
      </c>
    </row>
    <row r="266" spans="2:8" hidden="1" x14ac:dyDescent="0.2">
      <c r="B266" s="8">
        <v>43726</v>
      </c>
      <c r="C266" s="9">
        <f t="shared" ca="1" si="16"/>
        <v>13850.481429756466</v>
      </c>
      <c r="D266" s="9">
        <f t="shared" ca="1" si="17"/>
        <v>14383.233074416765</v>
      </c>
      <c r="E266" s="10">
        <f t="shared" ca="1" si="18"/>
        <v>0.24700779560973751</v>
      </c>
      <c r="G266" s="8">
        <v>43726</v>
      </c>
      <c r="H266" s="10">
        <f t="shared" ca="1" si="19"/>
        <v>5.8264420274319752E-2</v>
      </c>
    </row>
    <row r="267" spans="2:8" hidden="1" x14ac:dyDescent="0.2">
      <c r="B267" s="8">
        <v>43727</v>
      </c>
      <c r="C267" s="9">
        <f t="shared" ca="1" si="16"/>
        <v>15831.520016119772</v>
      </c>
      <c r="D267" s="9">
        <f t="shared" ca="1" si="17"/>
        <v>10344.80547222048</v>
      </c>
      <c r="E267" s="10">
        <f t="shared" ca="1" si="18"/>
        <v>8.700593772512602E-2</v>
      </c>
      <c r="G267" s="8">
        <v>43727</v>
      </c>
      <c r="H267" s="10">
        <f t="shared" ca="1" si="19"/>
        <v>6.6551094003491934E-2</v>
      </c>
    </row>
    <row r="268" spans="2:8" hidden="1" x14ac:dyDescent="0.2">
      <c r="B268" s="8">
        <v>43728</v>
      </c>
      <c r="C268" s="9">
        <f t="shared" ca="1" si="16"/>
        <v>14132.186482564586</v>
      </c>
      <c r="D268" s="9">
        <f t="shared" ca="1" si="17"/>
        <v>13608.645498439579</v>
      </c>
      <c r="E268" s="10">
        <f t="shared" ca="1" si="18"/>
        <v>6.7979357417901606E-2</v>
      </c>
      <c r="G268" s="8">
        <v>43728</v>
      </c>
      <c r="H268" s="10">
        <f t="shared" ca="1" si="19"/>
        <v>1.9013885553690216E-2</v>
      </c>
    </row>
    <row r="269" spans="2:8" hidden="1" x14ac:dyDescent="0.2">
      <c r="B269" s="8">
        <v>43729</v>
      </c>
      <c r="C269" s="9">
        <f t="shared" ca="1" si="16"/>
        <v>17266.614666491365</v>
      </c>
      <c r="D269" s="9">
        <f t="shared" ca="1" si="17"/>
        <v>12828.375812507191</v>
      </c>
      <c r="E269" s="10">
        <f t="shared" ca="1" si="18"/>
        <v>8.9010365165567207E-2</v>
      </c>
      <c r="G269" s="8">
        <v>43729</v>
      </c>
      <c r="H269" s="10">
        <f t="shared" ca="1" si="19"/>
        <v>4.3702213362132827E-2</v>
      </c>
    </row>
    <row r="270" spans="2:8" hidden="1" x14ac:dyDescent="0.2">
      <c r="B270" s="8">
        <v>43730</v>
      </c>
      <c r="C270" s="9">
        <f t="shared" ca="1" si="16"/>
        <v>16421.120460089682</v>
      </c>
      <c r="D270" s="9">
        <f t="shared" ca="1" si="17"/>
        <v>11639.287206702067</v>
      </c>
      <c r="E270" s="10">
        <f t="shared" ca="1" si="18"/>
        <v>0.21298529370396241</v>
      </c>
      <c r="G270" s="8">
        <v>43730</v>
      </c>
      <c r="H270" s="10">
        <f t="shared" ca="1" si="19"/>
        <v>1.0586721708952352E-2</v>
      </c>
    </row>
    <row r="271" spans="2:8" hidden="1" x14ac:dyDescent="0.2">
      <c r="B271" s="8">
        <v>43731</v>
      </c>
      <c r="C271" s="9">
        <f t="shared" ca="1" si="16"/>
        <v>16980.301443188087</v>
      </c>
      <c r="D271" s="9">
        <f t="shared" ca="1" si="17"/>
        <v>14139.91385048423</v>
      </c>
      <c r="E271" s="10">
        <f t="shared" ca="1" si="18"/>
        <v>3.33266788013818E-2</v>
      </c>
      <c r="G271" s="8">
        <v>43731</v>
      </c>
      <c r="H271" s="10">
        <f t="shared" ca="1" si="19"/>
        <v>8.2204740968949697E-3</v>
      </c>
    </row>
    <row r="272" spans="2:8" hidden="1" x14ac:dyDescent="0.2">
      <c r="B272" s="8">
        <v>43732</v>
      </c>
      <c r="C272" s="9">
        <f t="shared" ca="1" si="16"/>
        <v>16212.035938010104</v>
      </c>
      <c r="D272" s="9">
        <f t="shared" ca="1" si="17"/>
        <v>14822.9057047803</v>
      </c>
      <c r="E272" s="10">
        <f t="shared" ca="1" si="18"/>
        <v>7.8315627875537031E-3</v>
      </c>
      <c r="G272" s="8">
        <v>43732</v>
      </c>
      <c r="H272" s="10">
        <f t="shared" ca="1" si="19"/>
        <v>2.7689016167764573E-2</v>
      </c>
    </row>
    <row r="273" spans="2:8" hidden="1" x14ac:dyDescent="0.2">
      <c r="B273" s="8">
        <v>43733</v>
      </c>
      <c r="C273" s="9">
        <f t="shared" ca="1" si="16"/>
        <v>12685.663891675224</v>
      </c>
      <c r="D273" s="9">
        <f t="shared" ca="1" si="17"/>
        <v>15050.005263792042</v>
      </c>
      <c r="E273" s="10">
        <f t="shared" ca="1" si="18"/>
        <v>0.26859783309224927</v>
      </c>
      <c r="G273" s="8">
        <v>43733</v>
      </c>
      <c r="H273" s="10">
        <f t="shared" ca="1" si="19"/>
        <v>5.2990178633644788E-2</v>
      </c>
    </row>
    <row r="274" spans="2:8" hidden="1" x14ac:dyDescent="0.2">
      <c r="B274" s="8">
        <v>43734</v>
      </c>
      <c r="C274" s="9">
        <f t="shared" ca="1" si="16"/>
        <v>11213.917813096639</v>
      </c>
      <c r="D274" s="9">
        <f t="shared" ca="1" si="17"/>
        <v>14086.167738366654</v>
      </c>
      <c r="E274" s="10">
        <f t="shared" ca="1" si="18"/>
        <v>0.22193985748919479</v>
      </c>
      <c r="G274" s="8">
        <v>43734</v>
      </c>
      <c r="H274" s="10">
        <f t="shared" ca="1" si="19"/>
        <v>2.4346734093723111E-2</v>
      </c>
    </row>
    <row r="275" spans="2:8" hidden="1" x14ac:dyDescent="0.2">
      <c r="B275" s="8">
        <v>43735</v>
      </c>
      <c r="C275" s="9">
        <f t="shared" ca="1" si="16"/>
        <v>10453.258545118862</v>
      </c>
      <c r="D275" s="9">
        <f t="shared" ca="1" si="17"/>
        <v>15117.02875518128</v>
      </c>
      <c r="E275" s="10">
        <f t="shared" ca="1" si="18"/>
        <v>0.21274741792313676</v>
      </c>
      <c r="G275" s="8">
        <v>43735</v>
      </c>
      <c r="H275" s="10">
        <f t="shared" ca="1" si="19"/>
        <v>6.7626111753245774E-2</v>
      </c>
    </row>
    <row r="276" spans="2:8" hidden="1" x14ac:dyDescent="0.2">
      <c r="B276" s="8">
        <v>43736</v>
      </c>
      <c r="C276" s="9">
        <f t="shared" ca="1" si="16"/>
        <v>14889.043679127382</v>
      </c>
      <c r="D276" s="9">
        <f t="shared" ca="1" si="17"/>
        <v>17256.545663848177</v>
      </c>
      <c r="E276" s="10">
        <f t="shared" ca="1" si="18"/>
        <v>4.2627156063896422E-2</v>
      </c>
      <c r="G276" s="8">
        <v>43736</v>
      </c>
      <c r="H276" s="10">
        <f t="shared" ca="1" si="19"/>
        <v>2.0175896884444804E-2</v>
      </c>
    </row>
    <row r="277" spans="2:8" hidden="1" x14ac:dyDescent="0.2">
      <c r="B277" s="8">
        <v>43737</v>
      </c>
      <c r="C277" s="9">
        <f t="shared" ca="1" si="16"/>
        <v>17399.183177659688</v>
      </c>
      <c r="D277" s="9">
        <f t="shared" ca="1" si="17"/>
        <v>12809.183790814663</v>
      </c>
      <c r="E277" s="10">
        <f t="shared" ca="1" si="18"/>
        <v>3.8939594842666625E-2</v>
      </c>
      <c r="G277" s="8">
        <v>43737</v>
      </c>
      <c r="H277" s="10">
        <f t="shared" ca="1" si="19"/>
        <v>5.3406236116206346E-2</v>
      </c>
    </row>
    <row r="278" spans="2:8" hidden="1" x14ac:dyDescent="0.2">
      <c r="B278" s="8">
        <v>43738</v>
      </c>
      <c r="C278" s="9">
        <f t="shared" ca="1" si="16"/>
        <v>17724.291666880366</v>
      </c>
      <c r="D278" s="9">
        <f t="shared" ca="1" si="17"/>
        <v>17895.125769303173</v>
      </c>
      <c r="E278" s="10">
        <f t="shared" ca="1" si="18"/>
        <v>0.23322613382965024</v>
      </c>
      <c r="G278" s="8">
        <v>43738</v>
      </c>
      <c r="H278" s="10">
        <f t="shared" ca="1" si="19"/>
        <v>2.6387961150071693E-2</v>
      </c>
    </row>
    <row r="279" spans="2:8" hidden="1" x14ac:dyDescent="0.2">
      <c r="B279" s="8">
        <v>43739</v>
      </c>
      <c r="C279" s="9">
        <f t="shared" ca="1" si="16"/>
        <v>14175.326705012514</v>
      </c>
      <c r="D279" s="9">
        <f t="shared" ca="1" si="17"/>
        <v>16114.923851148273</v>
      </c>
      <c r="E279" s="10">
        <f t="shared" ca="1" si="18"/>
        <v>6.9330349657600224E-2</v>
      </c>
      <c r="G279" s="8">
        <v>43739</v>
      </c>
      <c r="H279" s="10">
        <f t="shared" ca="1" si="19"/>
        <v>8.0819342094860698E-3</v>
      </c>
    </row>
    <row r="280" spans="2:8" hidden="1" x14ac:dyDescent="0.2">
      <c r="B280" s="8">
        <v>43740</v>
      </c>
      <c r="C280" s="9">
        <f t="shared" ca="1" si="16"/>
        <v>14500.661777011792</v>
      </c>
      <c r="D280" s="9">
        <f t="shared" ca="1" si="17"/>
        <v>17719.352810419299</v>
      </c>
      <c r="E280" s="10">
        <f t="shared" ca="1" si="18"/>
        <v>8.4822100075482132E-2</v>
      </c>
      <c r="G280" s="8">
        <v>43740</v>
      </c>
      <c r="H280" s="10">
        <f t="shared" ca="1" si="19"/>
        <v>2.3866104170566352E-2</v>
      </c>
    </row>
    <row r="281" spans="2:8" hidden="1" x14ac:dyDescent="0.2">
      <c r="B281" s="8">
        <v>43741</v>
      </c>
      <c r="C281" s="9">
        <f t="shared" ca="1" si="16"/>
        <v>12982.222666159116</v>
      </c>
      <c r="D281" s="9">
        <f t="shared" ca="1" si="17"/>
        <v>14929.168162623271</v>
      </c>
      <c r="E281" s="10">
        <f t="shared" ca="1" si="18"/>
        <v>0.13819079741550036</v>
      </c>
      <c r="G281" s="8">
        <v>43741</v>
      </c>
      <c r="H281" s="10">
        <f t="shared" ca="1" si="19"/>
        <v>6.5129629334805469E-2</v>
      </c>
    </row>
    <row r="282" spans="2:8" hidden="1" x14ac:dyDescent="0.2">
      <c r="B282" s="8">
        <v>43742</v>
      </c>
      <c r="C282" s="9">
        <f t="shared" ca="1" si="16"/>
        <v>17086.943122951416</v>
      </c>
      <c r="D282" s="9">
        <f t="shared" ca="1" si="17"/>
        <v>12805.102812063913</v>
      </c>
      <c r="E282" s="10">
        <f t="shared" ca="1" si="18"/>
        <v>0.12045545025709363</v>
      </c>
      <c r="G282" s="8">
        <v>43742</v>
      </c>
      <c r="H282" s="10">
        <f t="shared" ca="1" si="19"/>
        <v>1.0928244551478242E-2</v>
      </c>
    </row>
    <row r="283" spans="2:8" hidden="1" x14ac:dyDescent="0.2">
      <c r="B283" s="8">
        <v>43743</v>
      </c>
      <c r="C283" s="9">
        <f t="shared" ca="1" si="16"/>
        <v>16331.963474498254</v>
      </c>
      <c r="D283" s="9">
        <f t="shared" ca="1" si="17"/>
        <v>11224.369781652209</v>
      </c>
      <c r="E283" s="10">
        <f t="shared" ca="1" si="18"/>
        <v>0.18117802519556714</v>
      </c>
      <c r="G283" s="8">
        <v>43743</v>
      </c>
      <c r="H283" s="10">
        <f t="shared" ca="1" si="19"/>
        <v>6.8132134894080083E-3</v>
      </c>
    </row>
    <row r="284" spans="2:8" hidden="1" x14ac:dyDescent="0.2">
      <c r="B284" s="8">
        <v>43744</v>
      </c>
      <c r="C284" s="9">
        <f t="shared" ca="1" si="16"/>
        <v>11213.268412874717</v>
      </c>
      <c r="D284" s="9">
        <f t="shared" ca="1" si="17"/>
        <v>16785.111693367951</v>
      </c>
      <c r="E284" s="10">
        <f t="shared" ca="1" si="18"/>
        <v>0.15604326063955185</v>
      </c>
      <c r="G284" s="8">
        <v>43744</v>
      </c>
      <c r="H284" s="10">
        <f t="shared" ca="1" si="19"/>
        <v>6.289137687867942E-2</v>
      </c>
    </row>
    <row r="285" spans="2:8" hidden="1" x14ac:dyDescent="0.2">
      <c r="B285" s="8">
        <v>43745</v>
      </c>
      <c r="C285" s="9">
        <f t="shared" ca="1" si="16"/>
        <v>12410.298068832917</v>
      </c>
      <c r="D285" s="9">
        <f t="shared" ca="1" si="17"/>
        <v>12917.448399564062</v>
      </c>
      <c r="E285" s="10">
        <f t="shared" ca="1" si="18"/>
        <v>1.2266102422061453E-2</v>
      </c>
      <c r="G285" s="8">
        <v>43745</v>
      </c>
      <c r="H285" s="10">
        <f t="shared" ca="1" si="19"/>
        <v>3.7043389324666463E-2</v>
      </c>
    </row>
    <row r="286" spans="2:8" hidden="1" x14ac:dyDescent="0.2">
      <c r="B286" s="8">
        <v>43746</v>
      </c>
      <c r="C286" s="9">
        <f t="shared" ca="1" si="16"/>
        <v>13060.606543736303</v>
      </c>
      <c r="D286" s="9">
        <f t="shared" ca="1" si="17"/>
        <v>17814.309267746048</v>
      </c>
      <c r="E286" s="10">
        <f t="shared" ca="1" si="18"/>
        <v>9.9277192788695415E-2</v>
      </c>
      <c r="G286" s="8">
        <v>43746</v>
      </c>
      <c r="H286" s="10">
        <f t="shared" ca="1" si="19"/>
        <v>6.1182438071028897E-2</v>
      </c>
    </row>
    <row r="287" spans="2:8" hidden="1" x14ac:dyDescent="0.2">
      <c r="B287" s="8">
        <v>43747</v>
      </c>
      <c r="C287" s="9">
        <f t="shared" ca="1" si="16"/>
        <v>14927.071222285964</v>
      </c>
      <c r="D287" s="9">
        <f t="shared" ca="1" si="17"/>
        <v>17404.602691583834</v>
      </c>
      <c r="E287" s="10">
        <f t="shared" ca="1" si="18"/>
        <v>8.0949190162468473E-2</v>
      </c>
      <c r="G287" s="8">
        <v>43747</v>
      </c>
      <c r="H287" s="10">
        <f t="shared" ca="1" si="19"/>
        <v>2.2071626154960525E-3</v>
      </c>
    </row>
    <row r="288" spans="2:8" hidden="1" x14ac:dyDescent="0.2">
      <c r="B288" s="8">
        <v>43748</v>
      </c>
      <c r="C288" s="9">
        <f t="shared" ca="1" si="16"/>
        <v>14563.341349414062</v>
      </c>
      <c r="D288" s="9">
        <f t="shared" ca="1" si="17"/>
        <v>12168.871034750813</v>
      </c>
      <c r="E288" s="10">
        <f t="shared" ca="1" si="18"/>
        <v>2.8598231399317941E-3</v>
      </c>
      <c r="G288" s="8">
        <v>43748</v>
      </c>
      <c r="H288" s="10">
        <f t="shared" ca="1" si="19"/>
        <v>4.3787757271418828E-2</v>
      </c>
    </row>
    <row r="289" spans="2:8" hidden="1" x14ac:dyDescent="0.2">
      <c r="B289" s="8">
        <v>43749</v>
      </c>
      <c r="C289" s="9">
        <f t="shared" ca="1" si="16"/>
        <v>16908.159794555981</v>
      </c>
      <c r="D289" s="9">
        <f t="shared" ca="1" si="17"/>
        <v>12992.683856609063</v>
      </c>
      <c r="E289" s="10">
        <f t="shared" ca="1" si="18"/>
        <v>0.16504704943583257</v>
      </c>
      <c r="G289" s="8">
        <v>43749</v>
      </c>
      <c r="H289" s="10">
        <f t="shared" ca="1" si="19"/>
        <v>2.3763288860687751E-2</v>
      </c>
    </row>
    <row r="290" spans="2:8" hidden="1" x14ac:dyDescent="0.2">
      <c r="B290" s="8">
        <v>43750</v>
      </c>
      <c r="C290" s="9">
        <f t="shared" ca="1" si="16"/>
        <v>12474.76925975178</v>
      </c>
      <c r="D290" s="9">
        <f t="shared" ca="1" si="17"/>
        <v>15714.512042479961</v>
      </c>
      <c r="E290" s="10">
        <f t="shared" ca="1" si="18"/>
        <v>3.4241514159796239E-2</v>
      </c>
      <c r="G290" s="8">
        <v>43750</v>
      </c>
      <c r="H290" s="10">
        <f t="shared" ca="1" si="19"/>
        <v>1.9671762706881115E-2</v>
      </c>
    </row>
    <row r="291" spans="2:8" hidden="1" x14ac:dyDescent="0.2">
      <c r="B291" s="8">
        <v>43751</v>
      </c>
      <c r="C291" s="9">
        <f t="shared" ca="1" si="16"/>
        <v>17126.916996411826</v>
      </c>
      <c r="D291" s="9">
        <f t="shared" ca="1" si="17"/>
        <v>13855.78849563185</v>
      </c>
      <c r="E291" s="10">
        <f t="shared" ca="1" si="18"/>
        <v>0.17395983766217293</v>
      </c>
      <c r="G291" s="8">
        <v>43751</v>
      </c>
      <c r="H291" s="10">
        <f t="shared" ca="1" si="19"/>
        <v>3.9958834940568629E-2</v>
      </c>
    </row>
    <row r="292" spans="2:8" hidden="1" x14ac:dyDescent="0.2">
      <c r="B292" s="8">
        <v>43752</v>
      </c>
      <c r="C292" s="9">
        <f t="shared" ca="1" si="16"/>
        <v>10851.810901568846</v>
      </c>
      <c r="D292" s="9">
        <f t="shared" ca="1" si="17"/>
        <v>12979.371697190927</v>
      </c>
      <c r="E292" s="10">
        <f t="shared" ca="1" si="18"/>
        <v>8.2816795215317068E-2</v>
      </c>
      <c r="G292" s="8">
        <v>43752</v>
      </c>
      <c r="H292" s="10">
        <f t="shared" ca="1" si="19"/>
        <v>5.7926296628081915E-2</v>
      </c>
    </row>
    <row r="293" spans="2:8" hidden="1" x14ac:dyDescent="0.2">
      <c r="B293" s="8">
        <v>43753</v>
      </c>
      <c r="C293" s="9">
        <f t="shared" ca="1" si="16"/>
        <v>12367.228252519875</v>
      </c>
      <c r="D293" s="9">
        <f t="shared" ca="1" si="17"/>
        <v>17994.878734630314</v>
      </c>
      <c r="E293" s="10">
        <f t="shared" ca="1" si="18"/>
        <v>0.10224490445386263</v>
      </c>
      <c r="G293" s="8">
        <v>43753</v>
      </c>
      <c r="H293" s="10">
        <f t="shared" ca="1" si="19"/>
        <v>1.5971673909655953E-2</v>
      </c>
    </row>
    <row r="294" spans="2:8" hidden="1" x14ac:dyDescent="0.2">
      <c r="B294" s="8">
        <v>43754</v>
      </c>
      <c r="C294" s="9">
        <f t="shared" ca="1" si="16"/>
        <v>17539.402577216824</v>
      </c>
      <c r="D294" s="9">
        <f t="shared" ca="1" si="17"/>
        <v>16937.250816688116</v>
      </c>
      <c r="E294" s="10">
        <f t="shared" ca="1" si="18"/>
        <v>0.2782199400690924</v>
      </c>
      <c r="G294" s="8">
        <v>43754</v>
      </c>
      <c r="H294" s="10">
        <f t="shared" ca="1" si="19"/>
        <v>3.3549120539255087E-2</v>
      </c>
    </row>
    <row r="295" spans="2:8" hidden="1" x14ac:dyDescent="0.2">
      <c r="B295" s="8">
        <v>43755</v>
      </c>
      <c r="C295" s="9">
        <f t="shared" ca="1" si="16"/>
        <v>17647.677012127442</v>
      </c>
      <c r="D295" s="9">
        <f t="shared" ca="1" si="17"/>
        <v>17762.729455053402</v>
      </c>
      <c r="E295" s="10">
        <f t="shared" ca="1" si="18"/>
        <v>0.15282319883439302</v>
      </c>
      <c r="G295" s="8">
        <v>43755</v>
      </c>
      <c r="H295" s="10">
        <f t="shared" ca="1" si="19"/>
        <v>4.1410756840386753E-2</v>
      </c>
    </row>
    <row r="296" spans="2:8" hidden="1" x14ac:dyDescent="0.2">
      <c r="B296" s="8">
        <v>43756</v>
      </c>
      <c r="C296" s="9">
        <f t="shared" ca="1" si="16"/>
        <v>10317.241658433553</v>
      </c>
      <c r="D296" s="9">
        <f t="shared" ca="1" si="17"/>
        <v>13125.824929649576</v>
      </c>
      <c r="E296" s="10">
        <f t="shared" ca="1" si="18"/>
        <v>0.12684587844931183</v>
      </c>
      <c r="G296" s="8">
        <v>43756</v>
      </c>
      <c r="H296" s="10">
        <f t="shared" ca="1" si="19"/>
        <v>4.4069149426052244E-2</v>
      </c>
    </row>
    <row r="297" spans="2:8" hidden="1" x14ac:dyDescent="0.2">
      <c r="B297" s="8">
        <v>43757</v>
      </c>
      <c r="C297" s="9">
        <f t="shared" ca="1" si="16"/>
        <v>11760.603857601558</v>
      </c>
      <c r="D297" s="9">
        <f t="shared" ca="1" si="17"/>
        <v>15775.040633014969</v>
      </c>
      <c r="E297" s="10">
        <f t="shared" ca="1" si="18"/>
        <v>0.19182131301299871</v>
      </c>
      <c r="G297" s="8">
        <v>43757</v>
      </c>
      <c r="H297" s="10">
        <f t="shared" ca="1" si="19"/>
        <v>3.335580286181436E-2</v>
      </c>
    </row>
    <row r="298" spans="2:8" hidden="1" x14ac:dyDescent="0.2">
      <c r="B298" s="8">
        <v>43758</v>
      </c>
      <c r="C298" s="9">
        <f t="shared" ca="1" si="16"/>
        <v>11950.244526827795</v>
      </c>
      <c r="D298" s="9">
        <f t="shared" ca="1" si="17"/>
        <v>15911.421733582436</v>
      </c>
      <c r="E298" s="10">
        <f t="shared" ca="1" si="18"/>
        <v>5.0411037810379408E-2</v>
      </c>
      <c r="G298" s="8">
        <v>43758</v>
      </c>
      <c r="H298" s="10">
        <f t="shared" ca="1" si="19"/>
        <v>2.0581591917630634E-2</v>
      </c>
    </row>
    <row r="299" spans="2:8" hidden="1" x14ac:dyDescent="0.2">
      <c r="B299" s="8">
        <v>43759</v>
      </c>
      <c r="C299" s="9">
        <f t="shared" ca="1" si="16"/>
        <v>15958.600039966732</v>
      </c>
      <c r="D299" s="9">
        <f t="shared" ca="1" si="17"/>
        <v>16886.372338799905</v>
      </c>
      <c r="E299" s="10">
        <f t="shared" ca="1" si="18"/>
        <v>0.23145259784796446</v>
      </c>
      <c r="G299" s="8">
        <v>43759</v>
      </c>
      <c r="H299" s="10">
        <f t="shared" ca="1" si="19"/>
        <v>6.5088806774616648E-2</v>
      </c>
    </row>
    <row r="300" spans="2:8" hidden="1" x14ac:dyDescent="0.2">
      <c r="B300" s="8">
        <v>43760</v>
      </c>
      <c r="C300" s="9">
        <f t="shared" ca="1" si="16"/>
        <v>11799.135391653461</v>
      </c>
      <c r="D300" s="9">
        <f t="shared" ca="1" si="17"/>
        <v>11739.361135388417</v>
      </c>
      <c r="E300" s="10">
        <f t="shared" ca="1" si="18"/>
        <v>9.2719988928002761E-2</v>
      </c>
      <c r="G300" s="8">
        <v>43760</v>
      </c>
      <c r="H300" s="10">
        <f t="shared" ca="1" si="19"/>
        <v>5.7014827100048987E-2</v>
      </c>
    </row>
    <row r="301" spans="2:8" hidden="1" x14ac:dyDescent="0.2">
      <c r="B301" s="8">
        <v>43761</v>
      </c>
      <c r="C301" s="9">
        <f t="shared" ca="1" si="16"/>
        <v>17919.884141809027</v>
      </c>
      <c r="D301" s="9">
        <f t="shared" ca="1" si="17"/>
        <v>17367.800794586699</v>
      </c>
      <c r="E301" s="10">
        <f t="shared" ca="1" si="18"/>
        <v>0.10957771640722791</v>
      </c>
      <c r="G301" s="8">
        <v>43761</v>
      </c>
      <c r="H301" s="10">
        <f t="shared" ca="1" si="19"/>
        <v>5.7240414950911297E-2</v>
      </c>
    </row>
    <row r="302" spans="2:8" hidden="1" x14ac:dyDescent="0.2">
      <c r="B302" s="8">
        <v>43762</v>
      </c>
      <c r="C302" s="9">
        <f t="shared" ca="1" si="16"/>
        <v>17139.380963842344</v>
      </c>
      <c r="D302" s="9">
        <f t="shared" ca="1" si="17"/>
        <v>14639.856112012329</v>
      </c>
      <c r="E302" s="10">
        <f t="shared" ca="1" si="18"/>
        <v>0.17799269998073064</v>
      </c>
      <c r="G302" s="8">
        <v>43762</v>
      </c>
      <c r="H302" s="10">
        <f t="shared" ca="1" si="19"/>
        <v>4.9053975871491406E-2</v>
      </c>
    </row>
    <row r="303" spans="2:8" hidden="1" x14ac:dyDescent="0.2">
      <c r="B303" s="8">
        <v>43763</v>
      </c>
      <c r="C303" s="9">
        <f t="shared" ca="1" si="16"/>
        <v>11446.886172531649</v>
      </c>
      <c r="D303" s="9">
        <f t="shared" ca="1" si="17"/>
        <v>12521.158661576766</v>
      </c>
      <c r="E303" s="10">
        <f t="shared" ca="1" si="18"/>
        <v>0.16064277499271021</v>
      </c>
      <c r="G303" s="8">
        <v>43763</v>
      </c>
      <c r="H303" s="10">
        <f t="shared" ca="1" si="19"/>
        <v>1.3965790384195285E-2</v>
      </c>
    </row>
    <row r="304" spans="2:8" hidden="1" x14ac:dyDescent="0.2">
      <c r="B304" s="8">
        <v>43764</v>
      </c>
      <c r="C304" s="9">
        <f t="shared" ca="1" si="16"/>
        <v>17676.144243545481</v>
      </c>
      <c r="D304" s="9">
        <f t="shared" ca="1" si="17"/>
        <v>12339.506681249311</v>
      </c>
      <c r="E304" s="10">
        <f t="shared" ca="1" si="18"/>
        <v>7.2640078013412088E-2</v>
      </c>
      <c r="G304" s="8">
        <v>43764</v>
      </c>
      <c r="H304" s="10">
        <f t="shared" ca="1" si="19"/>
        <v>1.8096952740444799E-2</v>
      </c>
    </row>
    <row r="305" spans="2:8" hidden="1" x14ac:dyDescent="0.2">
      <c r="B305" s="8">
        <v>43765</v>
      </c>
      <c r="C305" s="9">
        <f t="shared" ca="1" si="16"/>
        <v>10597.120530205273</v>
      </c>
      <c r="D305" s="9">
        <f t="shared" ca="1" si="17"/>
        <v>14762.459680116532</v>
      </c>
      <c r="E305" s="10">
        <f t="shared" ca="1" si="18"/>
        <v>6.9363134676159829E-2</v>
      </c>
      <c r="G305" s="8">
        <v>43765</v>
      </c>
      <c r="H305" s="10">
        <f t="shared" ca="1" si="19"/>
        <v>5.4172617667562019E-2</v>
      </c>
    </row>
    <row r="306" spans="2:8" hidden="1" x14ac:dyDescent="0.2">
      <c r="B306" s="8">
        <v>43766</v>
      </c>
      <c r="C306" s="9">
        <f t="shared" ca="1" si="16"/>
        <v>11618.971950671104</v>
      </c>
      <c r="D306" s="9">
        <f t="shared" ca="1" si="17"/>
        <v>14489.79708640054</v>
      </c>
      <c r="E306" s="10">
        <f t="shared" ca="1" si="18"/>
        <v>9.2429467929484102E-2</v>
      </c>
      <c r="G306" s="8">
        <v>43766</v>
      </c>
      <c r="H306" s="10">
        <f t="shared" ca="1" si="19"/>
        <v>5.2920856236726224E-2</v>
      </c>
    </row>
    <row r="307" spans="2:8" hidden="1" x14ac:dyDescent="0.2">
      <c r="B307" s="8">
        <v>43767</v>
      </c>
      <c r="C307" s="9">
        <f t="shared" ca="1" si="16"/>
        <v>11775.058213329861</v>
      </c>
      <c r="D307" s="9">
        <f t="shared" ca="1" si="17"/>
        <v>13941.360583857677</v>
      </c>
      <c r="E307" s="10">
        <f t="shared" ca="1" si="18"/>
        <v>0.2277837845881962</v>
      </c>
      <c r="G307" s="8">
        <v>43767</v>
      </c>
      <c r="H307" s="10">
        <f t="shared" ca="1" si="19"/>
        <v>4.9081644537840398E-2</v>
      </c>
    </row>
    <row r="308" spans="2:8" hidden="1" x14ac:dyDescent="0.2">
      <c r="B308" s="8">
        <v>43768</v>
      </c>
      <c r="C308" s="9">
        <f t="shared" ca="1" si="16"/>
        <v>11608.263310722976</v>
      </c>
      <c r="D308" s="9">
        <f t="shared" ca="1" si="17"/>
        <v>11757.828490703305</v>
      </c>
      <c r="E308" s="10">
        <f t="shared" ca="1" si="18"/>
        <v>0.12701110543885338</v>
      </c>
      <c r="G308" s="8">
        <v>43768</v>
      </c>
      <c r="H308" s="10">
        <f t="shared" ca="1" si="19"/>
        <v>3.9547915284790333E-2</v>
      </c>
    </row>
    <row r="309" spans="2:8" hidden="1" x14ac:dyDescent="0.2">
      <c r="B309" s="8">
        <v>43769</v>
      </c>
      <c r="C309" s="9">
        <f t="shared" ca="1" si="16"/>
        <v>15009.543512959077</v>
      </c>
      <c r="D309" s="9">
        <f t="shared" ca="1" si="17"/>
        <v>17867.86469464943</v>
      </c>
      <c r="E309" s="10">
        <f t="shared" ca="1" si="18"/>
        <v>0.20602346291910678</v>
      </c>
      <c r="G309" s="8">
        <v>43769</v>
      </c>
      <c r="H309" s="10">
        <f t="shared" ca="1" si="19"/>
        <v>1.2898801859609314E-2</v>
      </c>
    </row>
    <row r="310" spans="2:8" hidden="1" x14ac:dyDescent="0.2">
      <c r="B310" s="8">
        <v>43770</v>
      </c>
      <c r="C310" s="9">
        <f t="shared" ca="1" si="16"/>
        <v>15543.910261747304</v>
      </c>
      <c r="D310" s="9">
        <f t="shared" ca="1" si="17"/>
        <v>14519.573139293079</v>
      </c>
      <c r="E310" s="10">
        <f t="shared" ca="1" si="18"/>
        <v>7.847273364217261E-2</v>
      </c>
      <c r="G310" s="8">
        <v>43770</v>
      </c>
      <c r="H310" s="10">
        <f t="shared" ca="1" si="19"/>
        <v>9.7346104812890528E-4</v>
      </c>
    </row>
    <row r="311" spans="2:8" hidden="1" x14ac:dyDescent="0.2">
      <c r="B311" s="8">
        <v>43771</v>
      </c>
      <c r="C311" s="9">
        <f t="shared" ca="1" si="16"/>
        <v>15108.365922933343</v>
      </c>
      <c r="D311" s="9">
        <f t="shared" ca="1" si="17"/>
        <v>13683.668243271333</v>
      </c>
      <c r="E311" s="10">
        <f t="shared" ca="1" si="18"/>
        <v>0.24131500342326018</v>
      </c>
      <c r="G311" s="8">
        <v>43771</v>
      </c>
      <c r="H311" s="10">
        <f t="shared" ca="1" si="19"/>
        <v>3.754212711457125E-2</v>
      </c>
    </row>
    <row r="312" spans="2:8" hidden="1" x14ac:dyDescent="0.2">
      <c r="B312" s="8">
        <v>43772</v>
      </c>
      <c r="C312" s="9">
        <f t="shared" ca="1" si="16"/>
        <v>11380.970763710329</v>
      </c>
      <c r="D312" s="9">
        <f t="shared" ca="1" si="17"/>
        <v>13686.011675294973</v>
      </c>
      <c r="E312" s="10">
        <f t="shared" ca="1" si="18"/>
        <v>0.15786638722545943</v>
      </c>
      <c r="G312" s="8">
        <v>43772</v>
      </c>
      <c r="H312" s="10">
        <f t="shared" ca="1" si="19"/>
        <v>6.3472319179041017E-3</v>
      </c>
    </row>
    <row r="313" spans="2:8" hidden="1" x14ac:dyDescent="0.2">
      <c r="B313" s="8">
        <v>43773</v>
      </c>
      <c r="C313" s="9">
        <f t="shared" ca="1" si="16"/>
        <v>15678.484370251523</v>
      </c>
      <c r="D313" s="9">
        <f t="shared" ca="1" si="17"/>
        <v>17055.837352056285</v>
      </c>
      <c r="E313" s="10">
        <f t="shared" ca="1" si="18"/>
        <v>2.3296246341911242E-2</v>
      </c>
      <c r="G313" s="8">
        <v>43773</v>
      </c>
      <c r="H313" s="10">
        <f t="shared" ca="1" si="19"/>
        <v>6.707486662777308E-2</v>
      </c>
    </row>
    <row r="314" spans="2:8" hidden="1" x14ac:dyDescent="0.2">
      <c r="B314" s="8">
        <v>43774</v>
      </c>
      <c r="C314" s="9">
        <f t="shared" ca="1" si="16"/>
        <v>11085.264683272491</v>
      </c>
      <c r="D314" s="9">
        <f t="shared" ca="1" si="17"/>
        <v>11302.02063772699</v>
      </c>
      <c r="E314" s="10">
        <f t="shared" ca="1" si="18"/>
        <v>0.23977343823008304</v>
      </c>
      <c r="G314" s="8">
        <v>43774</v>
      </c>
      <c r="H314" s="10">
        <f t="shared" ca="1" si="19"/>
        <v>6.5545234799876659E-2</v>
      </c>
    </row>
    <row r="315" spans="2:8" hidden="1" x14ac:dyDescent="0.2">
      <c r="B315" s="8">
        <v>43775</v>
      </c>
      <c r="C315" s="9">
        <f t="shared" ca="1" si="16"/>
        <v>12684.421655994705</v>
      </c>
      <c r="D315" s="9">
        <f t="shared" ca="1" si="17"/>
        <v>11885.548982413917</v>
      </c>
      <c r="E315" s="10">
        <f t="shared" ca="1" si="18"/>
        <v>7.31639339630311E-2</v>
      </c>
      <c r="G315" s="8">
        <v>43775</v>
      </c>
      <c r="H315" s="10">
        <f t="shared" ca="1" si="19"/>
        <v>2.2026349832860077E-2</v>
      </c>
    </row>
    <row r="316" spans="2:8" hidden="1" x14ac:dyDescent="0.2">
      <c r="B316" s="8">
        <v>43776</v>
      </c>
      <c r="C316" s="9">
        <f t="shared" ca="1" si="16"/>
        <v>12416.94015973396</v>
      </c>
      <c r="D316" s="9">
        <f t="shared" ca="1" si="17"/>
        <v>14941.475185801046</v>
      </c>
      <c r="E316" s="10">
        <f t="shared" ca="1" si="18"/>
        <v>3.9286222740654166E-2</v>
      </c>
      <c r="G316" s="8">
        <v>43776</v>
      </c>
      <c r="H316" s="10">
        <f t="shared" ca="1" si="19"/>
        <v>4.1170162506321384E-2</v>
      </c>
    </row>
    <row r="317" spans="2:8" hidden="1" x14ac:dyDescent="0.2">
      <c r="B317" s="8">
        <v>43777</v>
      </c>
      <c r="C317" s="9">
        <f t="shared" ca="1" si="16"/>
        <v>12067.8303475588</v>
      </c>
      <c r="D317" s="9">
        <f t="shared" ca="1" si="17"/>
        <v>17502.856490501086</v>
      </c>
      <c r="E317" s="10">
        <f t="shared" ca="1" si="18"/>
        <v>0.12708243301827871</v>
      </c>
      <c r="G317" s="8">
        <v>43777</v>
      </c>
      <c r="H317" s="10">
        <f t="shared" ca="1" si="19"/>
        <v>8.0254730484267279E-3</v>
      </c>
    </row>
    <row r="318" spans="2:8" hidden="1" x14ac:dyDescent="0.2">
      <c r="B318" s="8">
        <v>43778</v>
      </c>
      <c r="C318" s="9">
        <f t="shared" ca="1" si="16"/>
        <v>10077.640515110268</v>
      </c>
      <c r="D318" s="9">
        <f t="shared" ca="1" si="17"/>
        <v>16450.787793996544</v>
      </c>
      <c r="E318" s="10">
        <f t="shared" ca="1" si="18"/>
        <v>0.21283599442076201</v>
      </c>
      <c r="G318" s="8">
        <v>43778</v>
      </c>
      <c r="H318" s="10">
        <f t="shared" ca="1" si="19"/>
        <v>2.4271392754103407E-2</v>
      </c>
    </row>
    <row r="319" spans="2:8" hidden="1" x14ac:dyDescent="0.2">
      <c r="B319" s="8">
        <v>43779</v>
      </c>
      <c r="C319" s="9">
        <f t="shared" ca="1" si="16"/>
        <v>11937.151714867112</v>
      </c>
      <c r="D319" s="9">
        <f t="shared" ca="1" si="17"/>
        <v>17900.602712302996</v>
      </c>
      <c r="E319" s="10">
        <f t="shared" ca="1" si="18"/>
        <v>0.10332423009985874</v>
      </c>
      <c r="G319" s="8">
        <v>43779</v>
      </c>
      <c r="H319" s="10">
        <f t="shared" ca="1" si="19"/>
        <v>3.4083356064061897E-2</v>
      </c>
    </row>
    <row r="320" spans="2:8" hidden="1" x14ac:dyDescent="0.2">
      <c r="B320" s="8">
        <v>43780</v>
      </c>
      <c r="C320" s="9">
        <f t="shared" ca="1" si="16"/>
        <v>14844.805612320375</v>
      </c>
      <c r="D320" s="9">
        <f t="shared" ca="1" si="17"/>
        <v>13435.108971113332</v>
      </c>
      <c r="E320" s="10">
        <f t="shared" ca="1" si="18"/>
        <v>4.9591954864236253E-2</v>
      </c>
      <c r="G320" s="8">
        <v>43780</v>
      </c>
      <c r="H320" s="10">
        <f t="shared" ca="1" si="19"/>
        <v>2.050630604698897E-2</v>
      </c>
    </row>
    <row r="321" spans="2:8" hidden="1" x14ac:dyDescent="0.2">
      <c r="B321" s="8">
        <v>43781</v>
      </c>
      <c r="C321" s="9">
        <f t="shared" ca="1" si="16"/>
        <v>11640.850656935072</v>
      </c>
      <c r="D321" s="9">
        <f t="shared" ca="1" si="17"/>
        <v>13495.617456464082</v>
      </c>
      <c r="E321" s="10">
        <f t="shared" ca="1" si="18"/>
        <v>0.12250651142729745</v>
      </c>
      <c r="G321" s="8">
        <v>43781</v>
      </c>
      <c r="H321" s="10">
        <f t="shared" ca="1" si="19"/>
        <v>6.0131426627868065E-2</v>
      </c>
    </row>
    <row r="322" spans="2:8" hidden="1" x14ac:dyDescent="0.2">
      <c r="B322" s="8">
        <v>43782</v>
      </c>
      <c r="C322" s="9">
        <f t="shared" ca="1" si="16"/>
        <v>17365.269531361366</v>
      </c>
      <c r="D322" s="9">
        <f t="shared" ca="1" si="17"/>
        <v>14688.685683096763</v>
      </c>
      <c r="E322" s="10">
        <f t="shared" ca="1" si="18"/>
        <v>0.17620941378007293</v>
      </c>
      <c r="G322" s="8">
        <v>43782</v>
      </c>
      <c r="H322" s="10">
        <f t="shared" ca="1" si="19"/>
        <v>5.5499341350880478E-3</v>
      </c>
    </row>
    <row r="323" spans="2:8" hidden="1" x14ac:dyDescent="0.2">
      <c r="B323" s="8">
        <v>43783</v>
      </c>
      <c r="C323" s="9">
        <f t="shared" ca="1" si="16"/>
        <v>15183.118176095471</v>
      </c>
      <c r="D323" s="9">
        <f t="shared" ca="1" si="17"/>
        <v>17122.736992192302</v>
      </c>
      <c r="E323" s="10">
        <f t="shared" ca="1" si="18"/>
        <v>7.0754277380164932E-2</v>
      </c>
      <c r="G323" s="8">
        <v>43783</v>
      </c>
      <c r="H323" s="10">
        <f t="shared" ca="1" si="19"/>
        <v>4.796334733174857E-2</v>
      </c>
    </row>
    <row r="324" spans="2:8" hidden="1" x14ac:dyDescent="0.2">
      <c r="B324" s="8">
        <v>43784</v>
      </c>
      <c r="C324" s="9">
        <f t="shared" ca="1" si="16"/>
        <v>17816.936855507396</v>
      </c>
      <c r="D324" s="9">
        <f t="shared" ca="1" si="17"/>
        <v>12462.691963393019</v>
      </c>
      <c r="E324" s="10">
        <f t="shared" ca="1" si="18"/>
        <v>1.0372710801054919E-2</v>
      </c>
      <c r="G324" s="8">
        <v>43784</v>
      </c>
      <c r="H324" s="10">
        <f t="shared" ca="1" si="19"/>
        <v>1.4713410851033384E-3</v>
      </c>
    </row>
    <row r="325" spans="2:8" hidden="1" x14ac:dyDescent="0.2">
      <c r="B325" s="8">
        <v>43785</v>
      </c>
      <c r="C325" s="9">
        <f t="shared" ca="1" si="16"/>
        <v>14415.881887691139</v>
      </c>
      <c r="D325" s="9">
        <f t="shared" ca="1" si="17"/>
        <v>12529.325668845187</v>
      </c>
      <c r="E325" s="10">
        <f t="shared" ca="1" si="18"/>
        <v>0.15396867075013398</v>
      </c>
      <c r="G325" s="8">
        <v>43785</v>
      </c>
      <c r="H325" s="10">
        <f t="shared" ca="1" si="19"/>
        <v>2.8849706014928898E-2</v>
      </c>
    </row>
    <row r="326" spans="2:8" hidden="1" x14ac:dyDescent="0.2">
      <c r="B326" s="8">
        <v>43786</v>
      </c>
      <c r="C326" s="9">
        <f t="shared" ca="1" si="16"/>
        <v>16085.087711473661</v>
      </c>
      <c r="D326" s="9">
        <f t="shared" ca="1" si="17"/>
        <v>15046.602313272226</v>
      </c>
      <c r="E326" s="10">
        <f t="shared" ca="1" si="18"/>
        <v>0.11091913240956058</v>
      </c>
      <c r="G326" s="8">
        <v>43786</v>
      </c>
      <c r="H326" s="10">
        <f t="shared" ca="1" si="19"/>
        <v>1.4066256374824606E-3</v>
      </c>
    </row>
    <row r="327" spans="2:8" hidden="1" x14ac:dyDescent="0.2">
      <c r="B327" s="8">
        <v>43787</v>
      </c>
      <c r="C327" s="9">
        <f t="shared" ref="C327:C390" ca="1" si="20">RAND()*(18000-10000)+10000</f>
        <v>15553.316911677395</v>
      </c>
      <c r="D327" s="9">
        <f t="shared" ref="D327:D390" ca="1" si="21">RAND()*(18000-10000)+10000</f>
        <v>13225.363344189989</v>
      </c>
      <c r="E327" s="10">
        <f t="shared" ref="E327:E390" ca="1" si="22">RAND()*(30%-0%)+0%</f>
        <v>6.2266395741010602E-2</v>
      </c>
      <c r="G327" s="8">
        <v>43787</v>
      </c>
      <c r="H327" s="10">
        <f t="shared" ref="H327:H390" ca="1" si="23">RAND()*(7%-0%)+0%</f>
        <v>3.0951442674116942E-2</v>
      </c>
    </row>
    <row r="328" spans="2:8" hidden="1" x14ac:dyDescent="0.2">
      <c r="B328" s="8">
        <v>43788</v>
      </c>
      <c r="C328" s="9">
        <f t="shared" ca="1" si="20"/>
        <v>13782.367273746811</v>
      </c>
      <c r="D328" s="9">
        <f t="shared" ca="1" si="21"/>
        <v>12113.691458835685</v>
      </c>
      <c r="E328" s="10">
        <f t="shared" ca="1" si="22"/>
        <v>0.20651733822228702</v>
      </c>
      <c r="G328" s="8">
        <v>43788</v>
      </c>
      <c r="H328" s="10">
        <f t="shared" ca="1" si="23"/>
        <v>6.3653053955343972E-2</v>
      </c>
    </row>
    <row r="329" spans="2:8" hidden="1" x14ac:dyDescent="0.2">
      <c r="B329" s="8">
        <v>43789</v>
      </c>
      <c r="C329" s="9">
        <f t="shared" ca="1" si="20"/>
        <v>15662.427235116278</v>
      </c>
      <c r="D329" s="9">
        <f t="shared" ca="1" si="21"/>
        <v>13253.246379199047</v>
      </c>
      <c r="E329" s="10">
        <f t="shared" ca="1" si="22"/>
        <v>0.14166554695609548</v>
      </c>
      <c r="G329" s="8">
        <v>43789</v>
      </c>
      <c r="H329" s="10">
        <f t="shared" ca="1" si="23"/>
        <v>1.7521475478911343E-2</v>
      </c>
    </row>
    <row r="330" spans="2:8" hidden="1" x14ac:dyDescent="0.2">
      <c r="B330" s="8">
        <v>43790</v>
      </c>
      <c r="C330" s="9">
        <f t="shared" ca="1" si="20"/>
        <v>14875.576528894484</v>
      </c>
      <c r="D330" s="9">
        <f t="shared" ca="1" si="21"/>
        <v>11357.047231151095</v>
      </c>
      <c r="E330" s="10">
        <f t="shared" ca="1" si="22"/>
        <v>9.4585710270969445E-2</v>
      </c>
      <c r="G330" s="8">
        <v>43790</v>
      </c>
      <c r="H330" s="10">
        <f t="shared" ca="1" si="23"/>
        <v>3.753615142921609E-2</v>
      </c>
    </row>
    <row r="331" spans="2:8" hidden="1" x14ac:dyDescent="0.2">
      <c r="B331" s="8">
        <v>43791</v>
      </c>
      <c r="C331" s="9">
        <f t="shared" ca="1" si="20"/>
        <v>16245.680629300448</v>
      </c>
      <c r="D331" s="9">
        <f t="shared" ca="1" si="21"/>
        <v>13398.503086402501</v>
      </c>
      <c r="E331" s="10">
        <f t="shared" ca="1" si="22"/>
        <v>0.29676952629571773</v>
      </c>
      <c r="G331" s="8">
        <v>43791</v>
      </c>
      <c r="H331" s="10">
        <f t="shared" ca="1" si="23"/>
        <v>4.6810216563778616E-2</v>
      </c>
    </row>
    <row r="332" spans="2:8" hidden="1" x14ac:dyDescent="0.2">
      <c r="B332" s="8">
        <v>43792</v>
      </c>
      <c r="C332" s="9">
        <f t="shared" ca="1" si="20"/>
        <v>14269.274393550168</v>
      </c>
      <c r="D332" s="9">
        <f t="shared" ca="1" si="21"/>
        <v>14322.724968655901</v>
      </c>
      <c r="E332" s="10">
        <f t="shared" ca="1" si="22"/>
        <v>0.19455788027382773</v>
      </c>
      <c r="G332" s="8">
        <v>43792</v>
      </c>
      <c r="H332" s="10">
        <f t="shared" ca="1" si="23"/>
        <v>4.6251035026675387E-2</v>
      </c>
    </row>
    <row r="333" spans="2:8" hidden="1" x14ac:dyDescent="0.2">
      <c r="B333" s="8">
        <v>43793</v>
      </c>
      <c r="C333" s="9">
        <f t="shared" ca="1" si="20"/>
        <v>15770.03738489233</v>
      </c>
      <c r="D333" s="9">
        <f t="shared" ca="1" si="21"/>
        <v>14256.547328467255</v>
      </c>
      <c r="E333" s="10">
        <f t="shared" ca="1" si="22"/>
        <v>0.26214823883783861</v>
      </c>
      <c r="G333" s="8">
        <v>43793</v>
      </c>
      <c r="H333" s="10">
        <f t="shared" ca="1" si="23"/>
        <v>4.1795406690434515E-2</v>
      </c>
    </row>
    <row r="334" spans="2:8" hidden="1" x14ac:dyDescent="0.2">
      <c r="B334" s="8">
        <v>43794</v>
      </c>
      <c r="C334" s="9">
        <f t="shared" ca="1" si="20"/>
        <v>12814.018555996096</v>
      </c>
      <c r="D334" s="9">
        <f t="shared" ca="1" si="21"/>
        <v>10275.288003202162</v>
      </c>
      <c r="E334" s="10">
        <f t="shared" ca="1" si="22"/>
        <v>0.22036010320077862</v>
      </c>
      <c r="G334" s="8">
        <v>43794</v>
      </c>
      <c r="H334" s="10">
        <f t="shared" ca="1" si="23"/>
        <v>4.3860299027098718E-2</v>
      </c>
    </row>
    <row r="335" spans="2:8" hidden="1" x14ac:dyDescent="0.2">
      <c r="B335" s="8">
        <v>43795</v>
      </c>
      <c r="C335" s="9">
        <f t="shared" ca="1" si="20"/>
        <v>14019.4320502172</v>
      </c>
      <c r="D335" s="9">
        <f t="shared" ca="1" si="21"/>
        <v>17233.86381640541</v>
      </c>
      <c r="E335" s="10">
        <f t="shared" ca="1" si="22"/>
        <v>0.14285374241360979</v>
      </c>
      <c r="G335" s="8">
        <v>43795</v>
      </c>
      <c r="H335" s="10">
        <f t="shared" ca="1" si="23"/>
        <v>6.9252354181230782E-2</v>
      </c>
    </row>
    <row r="336" spans="2:8" hidden="1" x14ac:dyDescent="0.2">
      <c r="B336" s="8">
        <v>43796</v>
      </c>
      <c r="C336" s="9">
        <f t="shared" ca="1" si="20"/>
        <v>11338.305425523584</v>
      </c>
      <c r="D336" s="9">
        <f t="shared" ca="1" si="21"/>
        <v>16574.155399501284</v>
      </c>
      <c r="E336" s="10">
        <f t="shared" ca="1" si="22"/>
        <v>4.7140762631068402E-2</v>
      </c>
      <c r="G336" s="8">
        <v>43796</v>
      </c>
      <c r="H336" s="10">
        <f t="shared" ca="1" si="23"/>
        <v>5.3165259654104673E-2</v>
      </c>
    </row>
    <row r="337" spans="2:8" hidden="1" x14ac:dyDescent="0.2">
      <c r="B337" s="8">
        <v>43797</v>
      </c>
      <c r="C337" s="9">
        <f t="shared" ca="1" si="20"/>
        <v>15951.132733786046</v>
      </c>
      <c r="D337" s="9">
        <f t="shared" ca="1" si="21"/>
        <v>10758.008492585061</v>
      </c>
      <c r="E337" s="10">
        <f t="shared" ca="1" si="22"/>
        <v>0.23900084344503006</v>
      </c>
      <c r="G337" s="8">
        <v>43797</v>
      </c>
      <c r="H337" s="10">
        <f t="shared" ca="1" si="23"/>
        <v>6.6111799709760916E-2</v>
      </c>
    </row>
    <row r="338" spans="2:8" hidden="1" x14ac:dyDescent="0.2">
      <c r="B338" s="8">
        <v>43798</v>
      </c>
      <c r="C338" s="9">
        <f t="shared" ca="1" si="20"/>
        <v>13069.204978171871</v>
      </c>
      <c r="D338" s="9">
        <f t="shared" ca="1" si="21"/>
        <v>10447.795798875924</v>
      </c>
      <c r="E338" s="10">
        <f t="shared" ca="1" si="22"/>
        <v>0.26954165127808538</v>
      </c>
      <c r="G338" s="8">
        <v>43798</v>
      </c>
      <c r="H338" s="10">
        <f t="shared" ca="1" si="23"/>
        <v>6.4347622026896187E-2</v>
      </c>
    </row>
    <row r="339" spans="2:8" hidden="1" x14ac:dyDescent="0.2">
      <c r="B339" s="8">
        <v>43799</v>
      </c>
      <c r="C339" s="9">
        <f t="shared" ca="1" si="20"/>
        <v>11249.661205110384</v>
      </c>
      <c r="D339" s="9">
        <f t="shared" ca="1" si="21"/>
        <v>14651.892625269546</v>
      </c>
      <c r="E339" s="10">
        <f t="shared" ca="1" si="22"/>
        <v>0.10825906402550663</v>
      </c>
      <c r="G339" s="8">
        <v>43799</v>
      </c>
      <c r="H339" s="10">
        <f t="shared" ca="1" si="23"/>
        <v>1.9786595906207363E-2</v>
      </c>
    </row>
    <row r="340" spans="2:8" hidden="1" x14ac:dyDescent="0.2">
      <c r="B340" s="8">
        <v>43800</v>
      </c>
      <c r="C340" s="9">
        <f t="shared" ca="1" si="20"/>
        <v>15439.301453210704</v>
      </c>
      <c r="D340" s="9">
        <f t="shared" ca="1" si="21"/>
        <v>11146.337768529393</v>
      </c>
      <c r="E340" s="10">
        <f t="shared" ca="1" si="22"/>
        <v>8.8081076077661233E-2</v>
      </c>
      <c r="G340" s="8">
        <v>43800</v>
      </c>
      <c r="H340" s="10">
        <f t="shared" ca="1" si="23"/>
        <v>1.1849890203445105E-2</v>
      </c>
    </row>
    <row r="341" spans="2:8" hidden="1" x14ac:dyDescent="0.2">
      <c r="B341" s="8">
        <v>43801</v>
      </c>
      <c r="C341" s="9">
        <f t="shared" ca="1" si="20"/>
        <v>12036.933345951422</v>
      </c>
      <c r="D341" s="9">
        <f t="shared" ca="1" si="21"/>
        <v>14533.175635886186</v>
      </c>
      <c r="E341" s="10">
        <f t="shared" ca="1" si="22"/>
        <v>7.4381457638897919E-3</v>
      </c>
      <c r="G341" s="8">
        <v>43801</v>
      </c>
      <c r="H341" s="10">
        <f t="shared" ca="1" si="23"/>
        <v>1.5892469388799943E-2</v>
      </c>
    </row>
    <row r="342" spans="2:8" hidden="1" x14ac:dyDescent="0.2">
      <c r="B342" s="8">
        <v>43802</v>
      </c>
      <c r="C342" s="9">
        <f t="shared" ca="1" si="20"/>
        <v>14004.623539640777</v>
      </c>
      <c r="D342" s="9">
        <f t="shared" ca="1" si="21"/>
        <v>17301.924151789182</v>
      </c>
      <c r="E342" s="10">
        <f t="shared" ca="1" si="22"/>
        <v>1.81743231688942E-2</v>
      </c>
      <c r="G342" s="8">
        <v>43802</v>
      </c>
      <c r="H342" s="10">
        <f t="shared" ca="1" si="23"/>
        <v>4.4443948782408482E-2</v>
      </c>
    </row>
    <row r="343" spans="2:8" hidden="1" x14ac:dyDescent="0.2">
      <c r="B343" s="8">
        <v>43803</v>
      </c>
      <c r="C343" s="9">
        <f t="shared" ca="1" si="20"/>
        <v>12707.734562852707</v>
      </c>
      <c r="D343" s="9">
        <f t="shared" ca="1" si="21"/>
        <v>14811.742326503751</v>
      </c>
      <c r="E343" s="10">
        <f t="shared" ca="1" si="22"/>
        <v>0.15030636403163899</v>
      </c>
      <c r="G343" s="8">
        <v>43803</v>
      </c>
      <c r="H343" s="10">
        <f t="shared" ca="1" si="23"/>
        <v>2.9288570509245913E-2</v>
      </c>
    </row>
    <row r="344" spans="2:8" hidden="1" x14ac:dyDescent="0.2">
      <c r="B344" s="8">
        <v>43804</v>
      </c>
      <c r="C344" s="9">
        <f t="shared" ca="1" si="20"/>
        <v>15610.064414477947</v>
      </c>
      <c r="D344" s="9">
        <f t="shared" ca="1" si="21"/>
        <v>11744.724421895988</v>
      </c>
      <c r="E344" s="10">
        <f t="shared" ca="1" si="22"/>
        <v>2.129608035609204E-2</v>
      </c>
      <c r="G344" s="8">
        <v>43804</v>
      </c>
      <c r="H344" s="10">
        <f t="shared" ca="1" si="23"/>
        <v>4.5697316448625097E-2</v>
      </c>
    </row>
    <row r="345" spans="2:8" hidden="1" x14ac:dyDescent="0.2">
      <c r="B345" s="8">
        <v>43805</v>
      </c>
      <c r="C345" s="9">
        <f t="shared" ca="1" si="20"/>
        <v>11387.034518080851</v>
      </c>
      <c r="D345" s="9">
        <f t="shared" ca="1" si="21"/>
        <v>15443.616178122145</v>
      </c>
      <c r="E345" s="10">
        <f t="shared" ca="1" si="22"/>
        <v>8.2503192476822543E-2</v>
      </c>
      <c r="G345" s="8">
        <v>43805</v>
      </c>
      <c r="H345" s="10">
        <f t="shared" ca="1" si="23"/>
        <v>6.2969917647417745E-2</v>
      </c>
    </row>
    <row r="346" spans="2:8" hidden="1" x14ac:dyDescent="0.2">
      <c r="B346" s="8">
        <v>43806</v>
      </c>
      <c r="C346" s="9">
        <f t="shared" ca="1" si="20"/>
        <v>11177.526706417859</v>
      </c>
      <c r="D346" s="9">
        <f t="shared" ca="1" si="21"/>
        <v>14111.209350773843</v>
      </c>
      <c r="E346" s="10">
        <f t="shared" ca="1" si="22"/>
        <v>0.15590733253639658</v>
      </c>
      <c r="G346" s="8">
        <v>43806</v>
      </c>
      <c r="H346" s="10">
        <f t="shared" ca="1" si="23"/>
        <v>1.3686266107607394E-2</v>
      </c>
    </row>
    <row r="347" spans="2:8" hidden="1" x14ac:dyDescent="0.2">
      <c r="B347" s="8">
        <v>43807</v>
      </c>
      <c r="C347" s="9">
        <f t="shared" ca="1" si="20"/>
        <v>13475.283074333285</v>
      </c>
      <c r="D347" s="9">
        <f t="shared" ca="1" si="21"/>
        <v>10726.068361483583</v>
      </c>
      <c r="E347" s="10">
        <f t="shared" ca="1" si="22"/>
        <v>0.17322146117244061</v>
      </c>
      <c r="G347" s="8">
        <v>43807</v>
      </c>
      <c r="H347" s="10">
        <f t="shared" ca="1" si="23"/>
        <v>1.5150878319825214E-2</v>
      </c>
    </row>
    <row r="348" spans="2:8" hidden="1" x14ac:dyDescent="0.2">
      <c r="B348" s="8">
        <v>43808</v>
      </c>
      <c r="C348" s="9">
        <f t="shared" ca="1" si="20"/>
        <v>12139.602479387546</v>
      </c>
      <c r="D348" s="9">
        <f t="shared" ca="1" si="21"/>
        <v>16634.231339802849</v>
      </c>
      <c r="E348" s="10">
        <f t="shared" ca="1" si="22"/>
        <v>1.3767320631796908E-2</v>
      </c>
      <c r="G348" s="8">
        <v>43808</v>
      </c>
      <c r="H348" s="10">
        <f t="shared" ca="1" si="23"/>
        <v>3.1294785275113482E-3</v>
      </c>
    </row>
    <row r="349" spans="2:8" hidden="1" x14ac:dyDescent="0.2">
      <c r="B349" s="8">
        <v>43809</v>
      </c>
      <c r="C349" s="9">
        <f t="shared" ca="1" si="20"/>
        <v>14083.751775226581</v>
      </c>
      <c r="D349" s="9">
        <f t="shared" ca="1" si="21"/>
        <v>17932.850831872547</v>
      </c>
      <c r="E349" s="10">
        <f t="shared" ca="1" si="22"/>
        <v>0.17032399983223759</v>
      </c>
      <c r="G349" s="8">
        <v>43809</v>
      </c>
      <c r="H349" s="10">
        <f t="shared" ca="1" si="23"/>
        <v>3.6472628046546322E-2</v>
      </c>
    </row>
    <row r="350" spans="2:8" hidden="1" x14ac:dyDescent="0.2">
      <c r="B350" s="8">
        <v>43810</v>
      </c>
      <c r="C350" s="9">
        <f t="shared" ca="1" si="20"/>
        <v>12960.455915350653</v>
      </c>
      <c r="D350" s="9">
        <f t="shared" ca="1" si="21"/>
        <v>12815.408655894658</v>
      </c>
      <c r="E350" s="10">
        <f t="shared" ca="1" si="22"/>
        <v>0.26107815397501982</v>
      </c>
      <c r="G350" s="8">
        <v>43810</v>
      </c>
      <c r="H350" s="10">
        <f t="shared" ca="1" si="23"/>
        <v>5.2460231953020235E-2</v>
      </c>
    </row>
    <row r="351" spans="2:8" hidden="1" x14ac:dyDescent="0.2">
      <c r="B351" s="8">
        <v>43811</v>
      </c>
      <c r="C351" s="9">
        <f t="shared" ca="1" si="20"/>
        <v>14026.383647605746</v>
      </c>
      <c r="D351" s="9">
        <f t="shared" ca="1" si="21"/>
        <v>17759.847956599999</v>
      </c>
      <c r="E351" s="10">
        <f t="shared" ca="1" si="22"/>
        <v>0.14907778088139023</v>
      </c>
      <c r="G351" s="8">
        <v>43811</v>
      </c>
      <c r="H351" s="10">
        <f t="shared" ca="1" si="23"/>
        <v>1.9234687939758927E-2</v>
      </c>
    </row>
    <row r="352" spans="2:8" hidden="1" x14ac:dyDescent="0.2">
      <c r="B352" s="8">
        <v>43812</v>
      </c>
      <c r="C352" s="9">
        <f t="shared" ca="1" si="20"/>
        <v>10379.457713705411</v>
      </c>
      <c r="D352" s="9">
        <f t="shared" ca="1" si="21"/>
        <v>10213.99937090817</v>
      </c>
      <c r="E352" s="10">
        <f t="shared" ca="1" si="22"/>
        <v>0.28259096457514726</v>
      </c>
      <c r="G352" s="8">
        <v>43812</v>
      </c>
      <c r="H352" s="10">
        <f t="shared" ca="1" si="23"/>
        <v>4.6644014452057216E-2</v>
      </c>
    </row>
    <row r="353" spans="2:8" hidden="1" x14ac:dyDescent="0.2">
      <c r="B353" s="8">
        <v>43813</v>
      </c>
      <c r="C353" s="9">
        <f t="shared" ca="1" si="20"/>
        <v>14854.138303478341</v>
      </c>
      <c r="D353" s="9">
        <f t="shared" ca="1" si="21"/>
        <v>14263.975948972749</v>
      </c>
      <c r="E353" s="10">
        <f t="shared" ca="1" si="22"/>
        <v>2.368440982244786E-2</v>
      </c>
      <c r="G353" s="8">
        <v>43813</v>
      </c>
      <c r="H353" s="10">
        <f t="shared" ca="1" si="23"/>
        <v>4.4493136164628931E-2</v>
      </c>
    </row>
    <row r="354" spans="2:8" hidden="1" x14ac:dyDescent="0.2">
      <c r="B354" s="8">
        <v>43814</v>
      </c>
      <c r="C354" s="9">
        <f t="shared" ca="1" si="20"/>
        <v>14175.467915586765</v>
      </c>
      <c r="D354" s="9">
        <f t="shared" ca="1" si="21"/>
        <v>12055.001645504555</v>
      </c>
      <c r="E354" s="10">
        <f t="shared" ca="1" si="22"/>
        <v>0.28495213476313536</v>
      </c>
      <c r="G354" s="8">
        <v>43814</v>
      </c>
      <c r="H354" s="10">
        <f t="shared" ca="1" si="23"/>
        <v>6.8575131820918261E-2</v>
      </c>
    </row>
    <row r="355" spans="2:8" hidden="1" x14ac:dyDescent="0.2">
      <c r="B355" s="8">
        <v>43815</v>
      </c>
      <c r="C355" s="9">
        <f t="shared" ca="1" si="20"/>
        <v>14918.593088433692</v>
      </c>
      <c r="D355" s="9">
        <f t="shared" ca="1" si="21"/>
        <v>16411.46432064789</v>
      </c>
      <c r="E355" s="10">
        <f t="shared" ca="1" si="22"/>
        <v>0.14074586547223022</v>
      </c>
      <c r="G355" s="8">
        <v>43815</v>
      </c>
      <c r="H355" s="10">
        <f t="shared" ca="1" si="23"/>
        <v>4.0494121746162341E-2</v>
      </c>
    </row>
    <row r="356" spans="2:8" hidden="1" x14ac:dyDescent="0.2">
      <c r="B356" s="8">
        <v>43816</v>
      </c>
      <c r="C356" s="9">
        <f t="shared" ca="1" si="20"/>
        <v>10816.482511313518</v>
      </c>
      <c r="D356" s="9">
        <f t="shared" ca="1" si="21"/>
        <v>14794.119526175307</v>
      </c>
      <c r="E356" s="10">
        <f t="shared" ca="1" si="22"/>
        <v>0.10844390306512385</v>
      </c>
      <c r="G356" s="8">
        <v>43816</v>
      </c>
      <c r="H356" s="10">
        <f t="shared" ca="1" si="23"/>
        <v>1.014134015863797E-2</v>
      </c>
    </row>
    <row r="357" spans="2:8" hidden="1" x14ac:dyDescent="0.2">
      <c r="B357" s="8">
        <v>43817</v>
      </c>
      <c r="C357" s="9">
        <f t="shared" ca="1" si="20"/>
        <v>14033.468787566135</v>
      </c>
      <c r="D357" s="9">
        <f t="shared" ca="1" si="21"/>
        <v>11506.8574233158</v>
      </c>
      <c r="E357" s="10">
        <f t="shared" ca="1" si="22"/>
        <v>0.26712547419007038</v>
      </c>
      <c r="G357" s="8">
        <v>43817</v>
      </c>
      <c r="H357" s="10">
        <f t="shared" ca="1" si="23"/>
        <v>3.8572214973186893E-2</v>
      </c>
    </row>
    <row r="358" spans="2:8" hidden="1" x14ac:dyDescent="0.2">
      <c r="B358" s="8">
        <v>43818</v>
      </c>
      <c r="C358" s="9">
        <f t="shared" ca="1" si="20"/>
        <v>11469.742964516163</v>
      </c>
      <c r="D358" s="9">
        <f t="shared" ca="1" si="21"/>
        <v>14885.812378430284</v>
      </c>
      <c r="E358" s="10">
        <f t="shared" ca="1" si="22"/>
        <v>0.20844183208791034</v>
      </c>
      <c r="G358" s="8">
        <v>43818</v>
      </c>
      <c r="H358" s="10">
        <f t="shared" ca="1" si="23"/>
        <v>4.0416767506839646E-2</v>
      </c>
    </row>
    <row r="359" spans="2:8" hidden="1" x14ac:dyDescent="0.2">
      <c r="B359" s="8">
        <v>43819</v>
      </c>
      <c r="C359" s="9">
        <f t="shared" ca="1" si="20"/>
        <v>13053.221127283266</v>
      </c>
      <c r="D359" s="9">
        <f t="shared" ca="1" si="21"/>
        <v>15524.469731171503</v>
      </c>
      <c r="E359" s="10">
        <f t="shared" ca="1" si="22"/>
        <v>9.7246265349689442E-2</v>
      </c>
      <c r="G359" s="8">
        <v>43819</v>
      </c>
      <c r="H359" s="10">
        <f t="shared" ca="1" si="23"/>
        <v>1.9978596494621553E-2</v>
      </c>
    </row>
    <row r="360" spans="2:8" hidden="1" x14ac:dyDescent="0.2">
      <c r="B360" s="8">
        <v>43820</v>
      </c>
      <c r="C360" s="9">
        <f t="shared" ca="1" si="20"/>
        <v>15037.239969484137</v>
      </c>
      <c r="D360" s="9">
        <f t="shared" ca="1" si="21"/>
        <v>11619.919220515896</v>
      </c>
      <c r="E360" s="10">
        <f t="shared" ca="1" si="22"/>
        <v>3.9096794448365224E-2</v>
      </c>
      <c r="G360" s="8">
        <v>43820</v>
      </c>
      <c r="H360" s="10">
        <f t="shared" ca="1" si="23"/>
        <v>6.8286736254147426E-2</v>
      </c>
    </row>
    <row r="361" spans="2:8" hidden="1" x14ac:dyDescent="0.2">
      <c r="B361" s="8">
        <v>43821</v>
      </c>
      <c r="C361" s="9">
        <f t="shared" ca="1" si="20"/>
        <v>16561.070565439266</v>
      </c>
      <c r="D361" s="9">
        <f t="shared" ca="1" si="21"/>
        <v>17883.005352439865</v>
      </c>
      <c r="E361" s="10">
        <f t="shared" ca="1" si="22"/>
        <v>3.9110479289727662E-2</v>
      </c>
      <c r="G361" s="8">
        <v>43821</v>
      </c>
      <c r="H361" s="10">
        <f t="shared" ca="1" si="23"/>
        <v>4.6247178757341488E-2</v>
      </c>
    </row>
    <row r="362" spans="2:8" hidden="1" x14ac:dyDescent="0.2">
      <c r="B362" s="8">
        <v>43822</v>
      </c>
      <c r="C362" s="9">
        <f t="shared" ca="1" si="20"/>
        <v>15068.152008668578</v>
      </c>
      <c r="D362" s="9">
        <f t="shared" ca="1" si="21"/>
        <v>13598.487019589546</v>
      </c>
      <c r="E362" s="10">
        <f t="shared" ca="1" si="22"/>
        <v>0.2530587528890888</v>
      </c>
      <c r="G362" s="8">
        <v>43822</v>
      </c>
      <c r="H362" s="10">
        <f t="shared" ca="1" si="23"/>
        <v>6.6562857884248469E-2</v>
      </c>
    </row>
    <row r="363" spans="2:8" hidden="1" x14ac:dyDescent="0.2">
      <c r="B363" s="8">
        <v>43823</v>
      </c>
      <c r="C363" s="9">
        <f t="shared" ca="1" si="20"/>
        <v>10658.855323558284</v>
      </c>
      <c r="D363" s="9">
        <f t="shared" ca="1" si="21"/>
        <v>10666.066117855156</v>
      </c>
      <c r="E363" s="10">
        <f t="shared" ca="1" si="22"/>
        <v>0.20872095333596988</v>
      </c>
      <c r="G363" s="8">
        <v>43823</v>
      </c>
      <c r="H363" s="10">
        <f t="shared" ca="1" si="23"/>
        <v>2.67090785499891E-2</v>
      </c>
    </row>
    <row r="364" spans="2:8" hidden="1" x14ac:dyDescent="0.2">
      <c r="B364" s="8">
        <v>43824</v>
      </c>
      <c r="C364" s="9">
        <f t="shared" ca="1" si="20"/>
        <v>17029.640662977974</v>
      </c>
      <c r="D364" s="9">
        <f t="shared" ca="1" si="21"/>
        <v>16045.615341386649</v>
      </c>
      <c r="E364" s="10">
        <f t="shared" ca="1" si="22"/>
        <v>0.25513745454642939</v>
      </c>
      <c r="G364" s="8">
        <v>43824</v>
      </c>
      <c r="H364" s="10">
        <f t="shared" ca="1" si="23"/>
        <v>4.2241870542924637E-3</v>
      </c>
    </row>
    <row r="365" spans="2:8" hidden="1" x14ac:dyDescent="0.2">
      <c r="B365" s="8">
        <v>43825</v>
      </c>
      <c r="C365" s="9">
        <f t="shared" ca="1" si="20"/>
        <v>12703.725140655346</v>
      </c>
      <c r="D365" s="9">
        <f t="shared" ca="1" si="21"/>
        <v>15621.247225026103</v>
      </c>
      <c r="E365" s="10">
        <f t="shared" ca="1" si="22"/>
        <v>0.14134177966239747</v>
      </c>
      <c r="G365" s="8">
        <v>43825</v>
      </c>
      <c r="H365" s="10">
        <f t="shared" ca="1" si="23"/>
        <v>2.6811596786137502E-2</v>
      </c>
    </row>
    <row r="366" spans="2:8" hidden="1" x14ac:dyDescent="0.2">
      <c r="B366" s="8">
        <v>43826</v>
      </c>
      <c r="C366" s="9">
        <f t="shared" ca="1" si="20"/>
        <v>17528.469170653294</v>
      </c>
      <c r="D366" s="9">
        <f t="shared" ca="1" si="21"/>
        <v>14130.13603964391</v>
      </c>
      <c r="E366" s="10">
        <f t="shared" ca="1" si="22"/>
        <v>0.14283338374925608</v>
      </c>
      <c r="G366" s="8">
        <v>43826</v>
      </c>
      <c r="H366" s="10">
        <f t="shared" ca="1" si="23"/>
        <v>4.169328164560096E-2</v>
      </c>
    </row>
    <row r="367" spans="2:8" hidden="1" x14ac:dyDescent="0.2">
      <c r="B367" s="8">
        <v>43827</v>
      </c>
      <c r="C367" s="9">
        <f t="shared" ca="1" si="20"/>
        <v>16433.938650066091</v>
      </c>
      <c r="D367" s="9">
        <f t="shared" ca="1" si="21"/>
        <v>10627.259935026666</v>
      </c>
      <c r="E367" s="10">
        <f t="shared" ca="1" si="22"/>
        <v>0.23138825821762393</v>
      </c>
      <c r="G367" s="8">
        <v>43827</v>
      </c>
      <c r="H367" s="10">
        <f t="shared" ca="1" si="23"/>
        <v>6.5155731475136369E-2</v>
      </c>
    </row>
    <row r="368" spans="2:8" hidden="1" x14ac:dyDescent="0.2">
      <c r="B368" s="8">
        <v>43828</v>
      </c>
      <c r="C368" s="9">
        <f t="shared" ca="1" si="20"/>
        <v>12810.23720555941</v>
      </c>
      <c r="D368" s="9">
        <f t="shared" ca="1" si="21"/>
        <v>13677.688164137402</v>
      </c>
      <c r="E368" s="10">
        <f t="shared" ca="1" si="22"/>
        <v>9.4116751375578553E-2</v>
      </c>
      <c r="G368" s="8">
        <v>43828</v>
      </c>
      <c r="H368" s="10">
        <f t="shared" ca="1" si="23"/>
        <v>5.3278867336550434E-2</v>
      </c>
    </row>
    <row r="369" spans="2:8" hidden="1" x14ac:dyDescent="0.2">
      <c r="B369" s="8">
        <v>43829</v>
      </c>
      <c r="C369" s="9">
        <f t="shared" ca="1" si="20"/>
        <v>17048.084209550201</v>
      </c>
      <c r="D369" s="9">
        <f t="shared" ca="1" si="21"/>
        <v>16656.202769893909</v>
      </c>
      <c r="E369" s="10">
        <f t="shared" ca="1" si="22"/>
        <v>0.10337051096966356</v>
      </c>
      <c r="G369" s="8">
        <v>43829</v>
      </c>
      <c r="H369" s="10">
        <f t="shared" ca="1" si="23"/>
        <v>6.7045178215855997E-2</v>
      </c>
    </row>
    <row r="370" spans="2:8" x14ac:dyDescent="0.2">
      <c r="B370" s="8">
        <v>43830</v>
      </c>
      <c r="C370" s="9">
        <f t="shared" ca="1" si="20"/>
        <v>16292.671227256531</v>
      </c>
      <c r="D370" s="9">
        <f t="shared" ca="1" si="21"/>
        <v>17465.373155339239</v>
      </c>
      <c r="E370" s="10">
        <f t="shared" ca="1" si="22"/>
        <v>0.22874560885692266</v>
      </c>
      <c r="G370" s="8">
        <v>43830</v>
      </c>
      <c r="H370" s="10">
        <f t="shared" ca="1" si="23"/>
        <v>4.868353420313081E-3</v>
      </c>
    </row>
    <row r="371" spans="2:8" hidden="1" x14ac:dyDescent="0.2">
      <c r="B371" s="8">
        <v>43831</v>
      </c>
      <c r="C371" s="9">
        <f t="shared" ca="1" si="20"/>
        <v>14447.831166729238</v>
      </c>
      <c r="D371" s="9">
        <f t="shared" ca="1" si="21"/>
        <v>10533.873294902831</v>
      </c>
      <c r="E371" s="10">
        <f t="shared" ca="1" si="22"/>
        <v>5.709698256798279E-2</v>
      </c>
      <c r="G371" s="8">
        <v>43831</v>
      </c>
      <c r="H371" s="10">
        <f t="shared" ca="1" si="23"/>
        <v>2.8379018151282642E-2</v>
      </c>
    </row>
    <row r="372" spans="2:8" hidden="1" x14ac:dyDescent="0.2">
      <c r="B372" s="8">
        <v>43832</v>
      </c>
      <c r="C372" s="9">
        <f t="shared" ca="1" si="20"/>
        <v>12902.535470794563</v>
      </c>
      <c r="D372" s="9">
        <f t="shared" ca="1" si="21"/>
        <v>17763.07956272925</v>
      </c>
      <c r="E372" s="10">
        <f t="shared" ca="1" si="22"/>
        <v>5.6200940568097546E-2</v>
      </c>
      <c r="G372" s="8">
        <v>43832</v>
      </c>
      <c r="H372" s="10">
        <f t="shared" ca="1" si="23"/>
        <v>2.3198027834958685E-2</v>
      </c>
    </row>
    <row r="373" spans="2:8" hidden="1" x14ac:dyDescent="0.2">
      <c r="B373" s="8">
        <v>43833</v>
      </c>
      <c r="C373" s="9">
        <f t="shared" ca="1" si="20"/>
        <v>14624.778367700097</v>
      </c>
      <c r="D373" s="9">
        <f t="shared" ca="1" si="21"/>
        <v>11201.784134539004</v>
      </c>
      <c r="E373" s="10">
        <f t="shared" ca="1" si="22"/>
        <v>0.28318993444121854</v>
      </c>
      <c r="G373" s="8">
        <v>43833</v>
      </c>
      <c r="H373" s="10">
        <f t="shared" ca="1" si="23"/>
        <v>3.5206147395424409E-2</v>
      </c>
    </row>
    <row r="374" spans="2:8" hidden="1" x14ac:dyDescent="0.2">
      <c r="B374" s="8">
        <v>43834</v>
      </c>
      <c r="C374" s="9">
        <f t="shared" ca="1" si="20"/>
        <v>17067.508900301666</v>
      </c>
      <c r="D374" s="9">
        <f t="shared" ca="1" si="21"/>
        <v>10107.09744337735</v>
      </c>
      <c r="E374" s="10">
        <f t="shared" ca="1" si="22"/>
        <v>0.1488431991225313</v>
      </c>
      <c r="G374" s="8">
        <v>43834</v>
      </c>
      <c r="H374" s="10">
        <f t="shared" ca="1" si="23"/>
        <v>4.5645406431073884E-2</v>
      </c>
    </row>
    <row r="375" spans="2:8" hidden="1" x14ac:dyDescent="0.2">
      <c r="B375" s="8">
        <v>43835</v>
      </c>
      <c r="C375" s="9">
        <f t="shared" ca="1" si="20"/>
        <v>14892.040439824174</v>
      </c>
      <c r="D375" s="9">
        <f t="shared" ca="1" si="21"/>
        <v>17829.00361981678</v>
      </c>
      <c r="E375" s="10">
        <f t="shared" ca="1" si="22"/>
        <v>1.9601795809809228E-2</v>
      </c>
      <c r="G375" s="8">
        <v>43835</v>
      </c>
      <c r="H375" s="10">
        <f t="shared" ca="1" si="23"/>
        <v>3.0941045861821129E-2</v>
      </c>
    </row>
    <row r="376" spans="2:8" hidden="1" x14ac:dyDescent="0.2">
      <c r="B376" s="8">
        <v>43836</v>
      </c>
      <c r="C376" s="9">
        <f t="shared" ca="1" si="20"/>
        <v>13362.286501779108</v>
      </c>
      <c r="D376" s="9">
        <f t="shared" ca="1" si="21"/>
        <v>14870.343992151189</v>
      </c>
      <c r="E376" s="10">
        <f t="shared" ca="1" si="22"/>
        <v>0.24053529370220866</v>
      </c>
      <c r="G376" s="8">
        <v>43836</v>
      </c>
      <c r="H376" s="10">
        <f t="shared" ca="1" si="23"/>
        <v>1.1346881910755405E-2</v>
      </c>
    </row>
    <row r="377" spans="2:8" hidden="1" x14ac:dyDescent="0.2">
      <c r="B377" s="8">
        <v>43837</v>
      </c>
      <c r="C377" s="9">
        <f t="shared" ca="1" si="20"/>
        <v>17367.093149588</v>
      </c>
      <c r="D377" s="9">
        <f t="shared" ca="1" si="21"/>
        <v>13855.117266165826</v>
      </c>
      <c r="E377" s="10">
        <f t="shared" ca="1" si="22"/>
        <v>0.17974857316138257</v>
      </c>
      <c r="G377" s="8">
        <v>43837</v>
      </c>
      <c r="H377" s="10">
        <f t="shared" ca="1" si="23"/>
        <v>6.9006462293650137E-2</v>
      </c>
    </row>
    <row r="378" spans="2:8" hidden="1" x14ac:dyDescent="0.2">
      <c r="B378" s="8">
        <v>43838</v>
      </c>
      <c r="C378" s="9">
        <f t="shared" ca="1" si="20"/>
        <v>11839.833628276301</v>
      </c>
      <c r="D378" s="9">
        <f t="shared" ca="1" si="21"/>
        <v>11255.218010606139</v>
      </c>
      <c r="E378" s="10">
        <f t="shared" ca="1" si="22"/>
        <v>0.21886211624828492</v>
      </c>
      <c r="G378" s="8">
        <v>43838</v>
      </c>
      <c r="H378" s="10">
        <f t="shared" ca="1" si="23"/>
        <v>9.8566155327707017E-3</v>
      </c>
    </row>
    <row r="379" spans="2:8" hidden="1" x14ac:dyDescent="0.2">
      <c r="B379" s="8">
        <v>43839</v>
      </c>
      <c r="C379" s="9">
        <f t="shared" ca="1" si="20"/>
        <v>15652.389621363629</v>
      </c>
      <c r="D379" s="9">
        <f t="shared" ca="1" si="21"/>
        <v>15902.538020588014</v>
      </c>
      <c r="E379" s="10">
        <f t="shared" ca="1" si="22"/>
        <v>4.9268617108414188E-2</v>
      </c>
      <c r="G379" s="8">
        <v>43839</v>
      </c>
      <c r="H379" s="10">
        <f t="shared" ca="1" si="23"/>
        <v>5.9554254723027403E-2</v>
      </c>
    </row>
    <row r="380" spans="2:8" hidden="1" x14ac:dyDescent="0.2">
      <c r="B380" s="8">
        <v>43840</v>
      </c>
      <c r="C380" s="9">
        <f t="shared" ca="1" si="20"/>
        <v>13529.769709820799</v>
      </c>
      <c r="D380" s="9">
        <f t="shared" ca="1" si="21"/>
        <v>12404.400334245356</v>
      </c>
      <c r="E380" s="10">
        <f t="shared" ca="1" si="22"/>
        <v>0.20106742617519702</v>
      </c>
      <c r="G380" s="8">
        <v>43840</v>
      </c>
      <c r="H380" s="10">
        <f t="shared" ca="1" si="23"/>
        <v>1.8675773411066687E-2</v>
      </c>
    </row>
    <row r="381" spans="2:8" hidden="1" x14ac:dyDescent="0.2">
      <c r="B381" s="8">
        <v>43841</v>
      </c>
      <c r="C381" s="9">
        <f t="shared" ca="1" si="20"/>
        <v>16821.998516508891</v>
      </c>
      <c r="D381" s="9">
        <f t="shared" ca="1" si="21"/>
        <v>16316.660086242962</v>
      </c>
      <c r="E381" s="10">
        <f t="shared" ca="1" si="22"/>
        <v>0.11909345592373083</v>
      </c>
      <c r="G381" s="8">
        <v>43841</v>
      </c>
      <c r="H381" s="10">
        <f t="shared" ca="1" si="23"/>
        <v>3.2208914755713004E-2</v>
      </c>
    </row>
    <row r="382" spans="2:8" hidden="1" x14ac:dyDescent="0.2">
      <c r="B382" s="8">
        <v>43842</v>
      </c>
      <c r="C382" s="9">
        <f t="shared" ca="1" si="20"/>
        <v>12809.76250150544</v>
      </c>
      <c r="D382" s="9">
        <f t="shared" ca="1" si="21"/>
        <v>17287.925699856376</v>
      </c>
      <c r="E382" s="10">
        <f t="shared" ca="1" si="22"/>
        <v>0.17875425350923616</v>
      </c>
      <c r="G382" s="8">
        <v>43842</v>
      </c>
      <c r="H382" s="10">
        <f t="shared" ca="1" si="23"/>
        <v>3.5144570430517032E-2</v>
      </c>
    </row>
    <row r="383" spans="2:8" hidden="1" x14ac:dyDescent="0.2">
      <c r="B383" s="8">
        <v>43843</v>
      </c>
      <c r="C383" s="9">
        <f t="shared" ca="1" si="20"/>
        <v>11741.157160961138</v>
      </c>
      <c r="D383" s="9">
        <f t="shared" ca="1" si="21"/>
        <v>17578.474220119402</v>
      </c>
      <c r="E383" s="10">
        <f t="shared" ca="1" si="22"/>
        <v>5.2626993222674077E-2</v>
      </c>
      <c r="G383" s="8">
        <v>43843</v>
      </c>
      <c r="H383" s="10">
        <f t="shared" ca="1" si="23"/>
        <v>6.2952978812851154E-2</v>
      </c>
    </row>
    <row r="384" spans="2:8" hidden="1" x14ac:dyDescent="0.2">
      <c r="B384" s="8">
        <v>43844</v>
      </c>
      <c r="C384" s="9">
        <f t="shared" ca="1" si="20"/>
        <v>12524.13210176237</v>
      </c>
      <c r="D384" s="9">
        <f t="shared" ca="1" si="21"/>
        <v>14138.029449432977</v>
      </c>
      <c r="E384" s="10">
        <f t="shared" ca="1" si="22"/>
        <v>3.7084016664950793E-2</v>
      </c>
      <c r="G384" s="8">
        <v>43844</v>
      </c>
      <c r="H384" s="10">
        <f t="shared" ca="1" si="23"/>
        <v>3.0248223041837777E-2</v>
      </c>
    </row>
    <row r="385" spans="2:8" hidden="1" x14ac:dyDescent="0.2">
      <c r="B385" s="8">
        <v>43845</v>
      </c>
      <c r="C385" s="9">
        <f t="shared" ca="1" si="20"/>
        <v>15247.066600592756</v>
      </c>
      <c r="D385" s="9">
        <f t="shared" ca="1" si="21"/>
        <v>11093.106043944897</v>
      </c>
      <c r="E385" s="10">
        <f t="shared" ca="1" si="22"/>
        <v>0.16167940096826888</v>
      </c>
      <c r="G385" s="8">
        <v>43845</v>
      </c>
      <c r="H385" s="10">
        <f t="shared" ca="1" si="23"/>
        <v>6.0949670464818674E-2</v>
      </c>
    </row>
    <row r="386" spans="2:8" hidden="1" x14ac:dyDescent="0.2">
      <c r="B386" s="8">
        <v>43846</v>
      </c>
      <c r="C386" s="9">
        <f t="shared" ca="1" si="20"/>
        <v>15487.621512531485</v>
      </c>
      <c r="D386" s="9">
        <f t="shared" ca="1" si="21"/>
        <v>12388.34822551821</v>
      </c>
      <c r="E386" s="10">
        <f t="shared" ca="1" si="22"/>
        <v>0.28870141967157775</v>
      </c>
      <c r="G386" s="8">
        <v>43846</v>
      </c>
      <c r="H386" s="10">
        <f t="shared" ca="1" si="23"/>
        <v>7.3613742119061762E-3</v>
      </c>
    </row>
    <row r="387" spans="2:8" hidden="1" x14ac:dyDescent="0.2">
      <c r="B387" s="8">
        <v>43847</v>
      </c>
      <c r="C387" s="9">
        <f t="shared" ca="1" si="20"/>
        <v>17217.003606676783</v>
      </c>
      <c r="D387" s="9">
        <f t="shared" ca="1" si="21"/>
        <v>17549.441984190678</v>
      </c>
      <c r="E387" s="10">
        <f t="shared" ca="1" si="22"/>
        <v>0.29321821508940515</v>
      </c>
      <c r="G387" s="8">
        <v>43847</v>
      </c>
      <c r="H387" s="10">
        <f t="shared" ca="1" si="23"/>
        <v>4.8050128032019628E-2</v>
      </c>
    </row>
    <row r="388" spans="2:8" hidden="1" x14ac:dyDescent="0.2">
      <c r="B388" s="8">
        <v>43848</v>
      </c>
      <c r="C388" s="9">
        <f t="shared" ca="1" si="20"/>
        <v>12142.617517679006</v>
      </c>
      <c r="D388" s="9">
        <f t="shared" ca="1" si="21"/>
        <v>17013.825182631081</v>
      </c>
      <c r="E388" s="10">
        <f t="shared" ca="1" si="22"/>
        <v>9.3209603401606625E-2</v>
      </c>
      <c r="G388" s="8">
        <v>43848</v>
      </c>
      <c r="H388" s="10">
        <f t="shared" ca="1" si="23"/>
        <v>8.8850506281836546E-3</v>
      </c>
    </row>
    <row r="389" spans="2:8" hidden="1" x14ac:dyDescent="0.2">
      <c r="B389" s="8">
        <v>43849</v>
      </c>
      <c r="C389" s="9">
        <f t="shared" ca="1" si="20"/>
        <v>15201.786408815409</v>
      </c>
      <c r="D389" s="9">
        <f t="shared" ca="1" si="21"/>
        <v>14132.915228525897</v>
      </c>
      <c r="E389" s="10">
        <f t="shared" ca="1" si="22"/>
        <v>0.11505944692879118</v>
      </c>
      <c r="G389" s="8">
        <v>43849</v>
      </c>
      <c r="H389" s="10">
        <f t="shared" ca="1" si="23"/>
        <v>6.7961313382793986E-2</v>
      </c>
    </row>
    <row r="390" spans="2:8" hidden="1" x14ac:dyDescent="0.2">
      <c r="B390" s="8">
        <v>43850</v>
      </c>
      <c r="C390" s="9">
        <f t="shared" ca="1" si="20"/>
        <v>10177.310580022178</v>
      </c>
      <c r="D390" s="9">
        <f t="shared" ca="1" si="21"/>
        <v>10822.555563914248</v>
      </c>
      <c r="E390" s="10">
        <f t="shared" ca="1" si="22"/>
        <v>0.296863547076755</v>
      </c>
      <c r="G390" s="8">
        <v>43850</v>
      </c>
      <c r="H390" s="10">
        <f t="shared" ca="1" si="23"/>
        <v>4.0016865271514058E-3</v>
      </c>
    </row>
    <row r="391" spans="2:8" hidden="1" x14ac:dyDescent="0.2">
      <c r="B391" s="8">
        <v>43851</v>
      </c>
      <c r="C391" s="9">
        <f t="shared" ref="C391:C454" ca="1" si="24">RAND()*(18000-10000)+10000</f>
        <v>12628.414304973807</v>
      </c>
      <c r="D391" s="9">
        <f t="shared" ref="D391:D454" ca="1" si="25">RAND()*(18000-10000)+10000</f>
        <v>10920.218459277892</v>
      </c>
      <c r="E391" s="10">
        <f t="shared" ref="E391:E454" ca="1" si="26">RAND()*(30%-0%)+0%</f>
        <v>0.17426571418691622</v>
      </c>
      <c r="G391" s="8">
        <v>43851</v>
      </c>
      <c r="H391" s="10">
        <f t="shared" ref="H391:H454" ca="1" si="27">RAND()*(7%-0%)+0%</f>
        <v>2.688633822238987E-2</v>
      </c>
    </row>
    <row r="392" spans="2:8" hidden="1" x14ac:dyDescent="0.2">
      <c r="B392" s="8">
        <v>43852</v>
      </c>
      <c r="C392" s="9">
        <f t="shared" ca="1" si="24"/>
        <v>12054.879443819069</v>
      </c>
      <c r="D392" s="9">
        <f t="shared" ca="1" si="25"/>
        <v>10996.068913341367</v>
      </c>
      <c r="E392" s="10">
        <f t="shared" ca="1" si="26"/>
        <v>0.10081408936805138</v>
      </c>
      <c r="G392" s="8">
        <v>43852</v>
      </c>
      <c r="H392" s="10">
        <f t="shared" ca="1" si="27"/>
        <v>3.6517334444475961E-2</v>
      </c>
    </row>
    <row r="393" spans="2:8" hidden="1" x14ac:dyDescent="0.2">
      <c r="B393" s="8">
        <v>43853</v>
      </c>
      <c r="C393" s="9">
        <f t="shared" ca="1" si="24"/>
        <v>13164.882735297508</v>
      </c>
      <c r="D393" s="9">
        <f t="shared" ca="1" si="25"/>
        <v>14485.38243526382</v>
      </c>
      <c r="E393" s="10">
        <f t="shared" ca="1" si="26"/>
        <v>0.25414578424027245</v>
      </c>
      <c r="G393" s="8">
        <v>43853</v>
      </c>
      <c r="H393" s="10">
        <f t="shared" ca="1" si="27"/>
        <v>6.125559290057684E-2</v>
      </c>
    </row>
    <row r="394" spans="2:8" hidden="1" x14ac:dyDescent="0.2">
      <c r="B394" s="8">
        <v>43854</v>
      </c>
      <c r="C394" s="9">
        <f t="shared" ca="1" si="24"/>
        <v>10723.38885155127</v>
      </c>
      <c r="D394" s="9">
        <f t="shared" ca="1" si="25"/>
        <v>13967.197734621694</v>
      </c>
      <c r="E394" s="10">
        <f t="shared" ca="1" si="26"/>
        <v>9.0979884273572231E-2</v>
      </c>
      <c r="G394" s="8">
        <v>43854</v>
      </c>
      <c r="H394" s="10">
        <f t="shared" ca="1" si="27"/>
        <v>1.8479058344550773E-2</v>
      </c>
    </row>
    <row r="395" spans="2:8" hidden="1" x14ac:dyDescent="0.2">
      <c r="B395" s="8">
        <v>43855</v>
      </c>
      <c r="C395" s="9">
        <f t="shared" ca="1" si="24"/>
        <v>13799.40657433667</v>
      </c>
      <c r="D395" s="9">
        <f t="shared" ca="1" si="25"/>
        <v>12163.413627264687</v>
      </c>
      <c r="E395" s="10">
        <f t="shared" ca="1" si="26"/>
        <v>1.8850407960008829E-2</v>
      </c>
      <c r="G395" s="8">
        <v>43855</v>
      </c>
      <c r="H395" s="10">
        <f t="shared" ca="1" si="27"/>
        <v>3.9921492406983429E-2</v>
      </c>
    </row>
    <row r="396" spans="2:8" hidden="1" x14ac:dyDescent="0.2">
      <c r="B396" s="8">
        <v>43856</v>
      </c>
      <c r="C396" s="9">
        <f t="shared" ca="1" si="24"/>
        <v>10866.166394418276</v>
      </c>
      <c r="D396" s="9">
        <f t="shared" ca="1" si="25"/>
        <v>17503.630242898987</v>
      </c>
      <c r="E396" s="10">
        <f t="shared" ca="1" si="26"/>
        <v>0.21048263693527389</v>
      </c>
      <c r="G396" s="8">
        <v>43856</v>
      </c>
      <c r="H396" s="10">
        <f t="shared" ca="1" si="27"/>
        <v>5.9060987817796042E-2</v>
      </c>
    </row>
    <row r="397" spans="2:8" hidden="1" x14ac:dyDescent="0.2">
      <c r="B397" s="8">
        <v>43857</v>
      </c>
      <c r="C397" s="9">
        <f t="shared" ca="1" si="24"/>
        <v>16034.091767185364</v>
      </c>
      <c r="D397" s="9">
        <f t="shared" ca="1" si="25"/>
        <v>11335.076488113307</v>
      </c>
      <c r="E397" s="10">
        <f t="shared" ca="1" si="26"/>
        <v>0.15648229344539075</v>
      </c>
      <c r="G397" s="8">
        <v>43857</v>
      </c>
      <c r="H397" s="10">
        <f t="shared" ca="1" si="27"/>
        <v>6.9792830440312703E-2</v>
      </c>
    </row>
    <row r="398" spans="2:8" hidden="1" x14ac:dyDescent="0.2">
      <c r="B398" s="8">
        <v>43858</v>
      </c>
      <c r="C398" s="9">
        <f t="shared" ca="1" si="24"/>
        <v>10025.504360889956</v>
      </c>
      <c r="D398" s="9">
        <f t="shared" ca="1" si="25"/>
        <v>11214.120570830602</v>
      </c>
      <c r="E398" s="10">
        <f t="shared" ca="1" si="26"/>
        <v>8.6741601898991591E-2</v>
      </c>
      <c r="G398" s="8">
        <v>43858</v>
      </c>
      <c r="H398" s="10">
        <f t="shared" ca="1" si="27"/>
        <v>7.5057447569644329E-3</v>
      </c>
    </row>
    <row r="399" spans="2:8" hidden="1" x14ac:dyDescent="0.2">
      <c r="B399" s="8">
        <v>43859</v>
      </c>
      <c r="C399" s="9">
        <f t="shared" ca="1" si="24"/>
        <v>16087.228106510138</v>
      </c>
      <c r="D399" s="9">
        <f t="shared" ca="1" si="25"/>
        <v>16138.51311671994</v>
      </c>
      <c r="E399" s="10">
        <f t="shared" ca="1" si="26"/>
        <v>2.8870734719300916E-2</v>
      </c>
      <c r="G399" s="8">
        <v>43859</v>
      </c>
      <c r="H399" s="10">
        <f t="shared" ca="1" si="27"/>
        <v>3.7139925213384911E-2</v>
      </c>
    </row>
    <row r="400" spans="2:8" hidden="1" x14ac:dyDescent="0.2">
      <c r="B400" s="8">
        <v>43860</v>
      </c>
      <c r="C400" s="9">
        <f t="shared" ca="1" si="24"/>
        <v>14737.27210408312</v>
      </c>
      <c r="D400" s="9">
        <f t="shared" ca="1" si="25"/>
        <v>13104.624405893763</v>
      </c>
      <c r="E400" s="10">
        <f t="shared" ca="1" si="26"/>
        <v>0.12800367017751221</v>
      </c>
      <c r="G400" s="8">
        <v>43860</v>
      </c>
      <c r="H400" s="10">
        <f t="shared" ca="1" si="27"/>
        <v>3.3466467447469533E-2</v>
      </c>
    </row>
    <row r="401" spans="2:8" hidden="1" x14ac:dyDescent="0.2">
      <c r="B401" s="8">
        <v>43861</v>
      </c>
      <c r="C401" s="9">
        <f t="shared" ca="1" si="24"/>
        <v>12453.430670957881</v>
      </c>
      <c r="D401" s="9">
        <f t="shared" ca="1" si="25"/>
        <v>12176.567547592611</v>
      </c>
      <c r="E401" s="10">
        <f t="shared" ca="1" si="26"/>
        <v>0.2450134790919179</v>
      </c>
      <c r="G401" s="8">
        <v>43861</v>
      </c>
      <c r="H401" s="10">
        <f t="shared" ca="1" si="27"/>
        <v>3.8643395490796841E-3</v>
      </c>
    </row>
    <row r="402" spans="2:8" hidden="1" x14ac:dyDescent="0.2">
      <c r="B402" s="8">
        <v>43862</v>
      </c>
      <c r="C402" s="9">
        <f t="shared" ca="1" si="24"/>
        <v>17513.959536128801</v>
      </c>
      <c r="D402" s="9">
        <f t="shared" ca="1" si="25"/>
        <v>16320.881140167385</v>
      </c>
      <c r="E402" s="10">
        <f t="shared" ca="1" si="26"/>
        <v>6.2926259714963698E-2</v>
      </c>
      <c r="G402" s="8">
        <v>43862</v>
      </c>
      <c r="H402" s="10">
        <f t="shared" ca="1" si="27"/>
        <v>1.6736311121014643E-2</v>
      </c>
    </row>
    <row r="403" spans="2:8" hidden="1" x14ac:dyDescent="0.2">
      <c r="B403" s="8">
        <v>43863</v>
      </c>
      <c r="C403" s="9">
        <f t="shared" ca="1" si="24"/>
        <v>15975.944635917283</v>
      </c>
      <c r="D403" s="9">
        <f t="shared" ca="1" si="25"/>
        <v>11996.856924714095</v>
      </c>
      <c r="E403" s="10">
        <f t="shared" ca="1" si="26"/>
        <v>0.14357709763351678</v>
      </c>
      <c r="G403" s="8">
        <v>43863</v>
      </c>
      <c r="H403" s="10">
        <f t="shared" ca="1" si="27"/>
        <v>5.3498098252902039E-3</v>
      </c>
    </row>
    <row r="404" spans="2:8" hidden="1" x14ac:dyDescent="0.2">
      <c r="B404" s="8">
        <v>43864</v>
      </c>
      <c r="C404" s="9">
        <f t="shared" ca="1" si="24"/>
        <v>17129.878370180544</v>
      </c>
      <c r="D404" s="9">
        <f t="shared" ca="1" si="25"/>
        <v>16996.994361968689</v>
      </c>
      <c r="E404" s="10">
        <f t="shared" ca="1" si="26"/>
        <v>0.10039347842934838</v>
      </c>
      <c r="G404" s="8">
        <v>43864</v>
      </c>
      <c r="H404" s="10">
        <f t="shared" ca="1" si="27"/>
        <v>6.7619764268424896E-3</v>
      </c>
    </row>
    <row r="405" spans="2:8" hidden="1" x14ac:dyDescent="0.2">
      <c r="B405" s="8">
        <v>43865</v>
      </c>
      <c r="C405" s="9">
        <f t="shared" ca="1" si="24"/>
        <v>11913.235305207212</v>
      </c>
      <c r="D405" s="9">
        <f t="shared" ca="1" si="25"/>
        <v>16527.659181804833</v>
      </c>
      <c r="E405" s="10">
        <f t="shared" ca="1" si="26"/>
        <v>0.23341242289254066</v>
      </c>
      <c r="G405" s="8">
        <v>43865</v>
      </c>
      <c r="H405" s="10">
        <f t="shared" ca="1" si="27"/>
        <v>2.0539747770710198E-2</v>
      </c>
    </row>
    <row r="406" spans="2:8" hidden="1" x14ac:dyDescent="0.2">
      <c r="B406" s="8">
        <v>43866</v>
      </c>
      <c r="C406" s="9">
        <f t="shared" ca="1" si="24"/>
        <v>10517.898124774318</v>
      </c>
      <c r="D406" s="9">
        <f t="shared" ca="1" si="25"/>
        <v>16848.727915105777</v>
      </c>
      <c r="E406" s="10">
        <f t="shared" ca="1" si="26"/>
        <v>0.20694627984375114</v>
      </c>
      <c r="G406" s="8">
        <v>43866</v>
      </c>
      <c r="H406" s="10">
        <f t="shared" ca="1" si="27"/>
        <v>4.1778071469703235E-2</v>
      </c>
    </row>
    <row r="407" spans="2:8" hidden="1" x14ac:dyDescent="0.2">
      <c r="B407" s="8">
        <v>43867</v>
      </c>
      <c r="C407" s="9">
        <f t="shared" ca="1" si="24"/>
        <v>10435.547108675124</v>
      </c>
      <c r="D407" s="9">
        <f t="shared" ca="1" si="25"/>
        <v>17570.655896469754</v>
      </c>
      <c r="E407" s="10">
        <f t="shared" ca="1" si="26"/>
        <v>9.6630748772723637E-2</v>
      </c>
      <c r="G407" s="8">
        <v>43867</v>
      </c>
      <c r="H407" s="10">
        <f t="shared" ca="1" si="27"/>
        <v>1.5363192618860723E-2</v>
      </c>
    </row>
    <row r="408" spans="2:8" hidden="1" x14ac:dyDescent="0.2">
      <c r="B408" s="8">
        <v>43868</v>
      </c>
      <c r="C408" s="9">
        <f t="shared" ca="1" si="24"/>
        <v>16694.164190828014</v>
      </c>
      <c r="D408" s="9">
        <f t="shared" ca="1" si="25"/>
        <v>11880.40291314724</v>
      </c>
      <c r="E408" s="10">
        <f t="shared" ca="1" si="26"/>
        <v>0.19876055596894426</v>
      </c>
      <c r="G408" s="8">
        <v>43868</v>
      </c>
      <c r="H408" s="10">
        <f t="shared" ca="1" si="27"/>
        <v>3.953226852577571E-2</v>
      </c>
    </row>
    <row r="409" spans="2:8" hidden="1" x14ac:dyDescent="0.2">
      <c r="B409" s="8">
        <v>43869</v>
      </c>
      <c r="C409" s="9">
        <f t="shared" ca="1" si="24"/>
        <v>13562.979726817935</v>
      </c>
      <c r="D409" s="9">
        <f t="shared" ca="1" si="25"/>
        <v>10472.140659108769</v>
      </c>
      <c r="E409" s="10">
        <f t="shared" ca="1" si="26"/>
        <v>0.15808888663242018</v>
      </c>
      <c r="G409" s="8">
        <v>43869</v>
      </c>
      <c r="H409" s="10">
        <f t="shared" ca="1" si="27"/>
        <v>2.4839785873154652E-2</v>
      </c>
    </row>
    <row r="410" spans="2:8" hidden="1" x14ac:dyDescent="0.2">
      <c r="B410" s="8">
        <v>43870</v>
      </c>
      <c r="C410" s="9">
        <f t="shared" ca="1" si="24"/>
        <v>17433.034780258458</v>
      </c>
      <c r="D410" s="9">
        <f t="shared" ca="1" si="25"/>
        <v>12279.728225930159</v>
      </c>
      <c r="E410" s="10">
        <f t="shared" ca="1" si="26"/>
        <v>0.25067722286922683</v>
      </c>
      <c r="G410" s="8">
        <v>43870</v>
      </c>
      <c r="H410" s="10">
        <f t="shared" ca="1" si="27"/>
        <v>5.0173868851866393E-2</v>
      </c>
    </row>
    <row r="411" spans="2:8" hidden="1" x14ac:dyDescent="0.2">
      <c r="B411" s="8">
        <v>43871</v>
      </c>
      <c r="C411" s="9">
        <f t="shared" ca="1" si="24"/>
        <v>11314.930917960497</v>
      </c>
      <c r="D411" s="9">
        <f t="shared" ca="1" si="25"/>
        <v>14123.78569933817</v>
      </c>
      <c r="E411" s="10">
        <f t="shared" ca="1" si="26"/>
        <v>0.20433551427768928</v>
      </c>
      <c r="G411" s="8">
        <v>43871</v>
      </c>
      <c r="H411" s="10">
        <f t="shared" ca="1" si="27"/>
        <v>6.999218745646052E-2</v>
      </c>
    </row>
    <row r="412" spans="2:8" hidden="1" x14ac:dyDescent="0.2">
      <c r="B412" s="8">
        <v>43872</v>
      </c>
      <c r="C412" s="9">
        <f t="shared" ca="1" si="24"/>
        <v>17318.782789398469</v>
      </c>
      <c r="D412" s="9">
        <f t="shared" ca="1" si="25"/>
        <v>14226.566983971945</v>
      </c>
      <c r="E412" s="10">
        <f t="shared" ca="1" si="26"/>
        <v>0.16676004455917046</v>
      </c>
      <c r="G412" s="8">
        <v>43872</v>
      </c>
      <c r="H412" s="10">
        <f t="shared" ca="1" si="27"/>
        <v>5.7281706913683464E-2</v>
      </c>
    </row>
    <row r="413" spans="2:8" hidden="1" x14ac:dyDescent="0.2">
      <c r="B413" s="8">
        <v>43873</v>
      </c>
      <c r="C413" s="9">
        <f t="shared" ca="1" si="24"/>
        <v>16411.661931699859</v>
      </c>
      <c r="D413" s="9">
        <f t="shared" ca="1" si="25"/>
        <v>12623.251436731702</v>
      </c>
      <c r="E413" s="10">
        <f t="shared" ca="1" si="26"/>
        <v>6.7641148851810898E-2</v>
      </c>
      <c r="G413" s="8">
        <v>43873</v>
      </c>
      <c r="H413" s="10">
        <f t="shared" ca="1" si="27"/>
        <v>1.4792729446641742E-2</v>
      </c>
    </row>
    <row r="414" spans="2:8" hidden="1" x14ac:dyDescent="0.2">
      <c r="B414" s="8">
        <v>43874</v>
      </c>
      <c r="C414" s="9">
        <f t="shared" ca="1" si="24"/>
        <v>11533.327003889988</v>
      </c>
      <c r="D414" s="9">
        <f t="shared" ca="1" si="25"/>
        <v>13690.489559870837</v>
      </c>
      <c r="E414" s="10">
        <f t="shared" ca="1" si="26"/>
        <v>3.4643548728021757E-2</v>
      </c>
      <c r="G414" s="8">
        <v>43874</v>
      </c>
      <c r="H414" s="10">
        <f t="shared" ca="1" si="27"/>
        <v>9.3111896150317348E-3</v>
      </c>
    </row>
    <row r="415" spans="2:8" hidden="1" x14ac:dyDescent="0.2">
      <c r="B415" s="8">
        <v>43875</v>
      </c>
      <c r="C415" s="9">
        <f t="shared" ca="1" si="24"/>
        <v>10968.989865970238</v>
      </c>
      <c r="D415" s="9">
        <f t="shared" ca="1" si="25"/>
        <v>14686.298437974106</v>
      </c>
      <c r="E415" s="10">
        <f t="shared" ca="1" si="26"/>
        <v>3.5403970400062219E-2</v>
      </c>
      <c r="G415" s="8">
        <v>43875</v>
      </c>
      <c r="H415" s="10">
        <f t="shared" ca="1" si="27"/>
        <v>5.0226611140849503E-2</v>
      </c>
    </row>
    <row r="416" spans="2:8" hidden="1" x14ac:dyDescent="0.2">
      <c r="B416" s="8">
        <v>43876</v>
      </c>
      <c r="C416" s="9">
        <f t="shared" ca="1" si="24"/>
        <v>16152.043000817079</v>
      </c>
      <c r="D416" s="9">
        <f t="shared" ca="1" si="25"/>
        <v>17294.169600709745</v>
      </c>
      <c r="E416" s="10">
        <f t="shared" ca="1" si="26"/>
        <v>0.16896784538647042</v>
      </c>
      <c r="G416" s="8">
        <v>43876</v>
      </c>
      <c r="H416" s="10">
        <f t="shared" ca="1" si="27"/>
        <v>1.0383928638304896E-2</v>
      </c>
    </row>
    <row r="417" spans="2:8" hidden="1" x14ac:dyDescent="0.2">
      <c r="B417" s="8">
        <v>43877</v>
      </c>
      <c r="C417" s="9">
        <f t="shared" ca="1" si="24"/>
        <v>11362.080246370686</v>
      </c>
      <c r="D417" s="9">
        <f t="shared" ca="1" si="25"/>
        <v>14536.152744270312</v>
      </c>
      <c r="E417" s="10">
        <f t="shared" ca="1" si="26"/>
        <v>0.11029083298405734</v>
      </c>
      <c r="G417" s="8">
        <v>43877</v>
      </c>
      <c r="H417" s="10">
        <f t="shared" ca="1" si="27"/>
        <v>4.24608927159498E-2</v>
      </c>
    </row>
    <row r="418" spans="2:8" hidden="1" x14ac:dyDescent="0.2">
      <c r="B418" s="8">
        <v>43878</v>
      </c>
      <c r="C418" s="9">
        <f t="shared" ca="1" si="24"/>
        <v>17587.224143188159</v>
      </c>
      <c r="D418" s="9">
        <f t="shared" ca="1" si="25"/>
        <v>15190.32765514098</v>
      </c>
      <c r="E418" s="10">
        <f t="shared" ca="1" si="26"/>
        <v>0.11931764695881364</v>
      </c>
      <c r="G418" s="8">
        <v>43878</v>
      </c>
      <c r="H418" s="10">
        <f t="shared" ca="1" si="27"/>
        <v>1.7501861758933254E-2</v>
      </c>
    </row>
    <row r="419" spans="2:8" hidden="1" x14ac:dyDescent="0.2">
      <c r="B419" s="8">
        <v>43879</v>
      </c>
      <c r="C419" s="9">
        <f t="shared" ca="1" si="24"/>
        <v>14115.546280973311</v>
      </c>
      <c r="D419" s="9">
        <f t="shared" ca="1" si="25"/>
        <v>13641.303459040279</v>
      </c>
      <c r="E419" s="10">
        <f t="shared" ca="1" si="26"/>
        <v>0.25608341017736513</v>
      </c>
      <c r="G419" s="8">
        <v>43879</v>
      </c>
      <c r="H419" s="10">
        <f t="shared" ca="1" si="27"/>
        <v>3.1232114893254104E-2</v>
      </c>
    </row>
    <row r="420" spans="2:8" hidden="1" x14ac:dyDescent="0.2">
      <c r="B420" s="8">
        <v>43880</v>
      </c>
      <c r="C420" s="9">
        <f t="shared" ca="1" si="24"/>
        <v>17568.516383643117</v>
      </c>
      <c r="D420" s="9">
        <f t="shared" ca="1" si="25"/>
        <v>11318.18184029075</v>
      </c>
      <c r="E420" s="10">
        <f t="shared" ca="1" si="26"/>
        <v>0.23822073754557443</v>
      </c>
      <c r="G420" s="8">
        <v>43880</v>
      </c>
      <c r="H420" s="10">
        <f t="shared" ca="1" si="27"/>
        <v>9.8853083154116662E-3</v>
      </c>
    </row>
    <row r="421" spans="2:8" hidden="1" x14ac:dyDescent="0.2">
      <c r="B421" s="8">
        <v>43881</v>
      </c>
      <c r="C421" s="9">
        <f t="shared" ca="1" si="24"/>
        <v>15332.640868330669</v>
      </c>
      <c r="D421" s="9">
        <f t="shared" ca="1" si="25"/>
        <v>16444.729981919616</v>
      </c>
      <c r="E421" s="10">
        <f t="shared" ca="1" si="26"/>
        <v>0.19422995881891111</v>
      </c>
      <c r="G421" s="8">
        <v>43881</v>
      </c>
      <c r="H421" s="10">
        <f t="shared" ca="1" si="27"/>
        <v>2.4791221112309817E-3</v>
      </c>
    </row>
    <row r="422" spans="2:8" hidden="1" x14ac:dyDescent="0.2">
      <c r="B422" s="8">
        <v>43882</v>
      </c>
      <c r="C422" s="9">
        <f t="shared" ca="1" si="24"/>
        <v>11487.32243355416</v>
      </c>
      <c r="D422" s="9">
        <f t="shared" ca="1" si="25"/>
        <v>15330.710937086535</v>
      </c>
      <c r="E422" s="10">
        <f t="shared" ca="1" si="26"/>
        <v>0.15792545856327714</v>
      </c>
      <c r="G422" s="8">
        <v>43882</v>
      </c>
      <c r="H422" s="10">
        <f t="shared" ca="1" si="27"/>
        <v>6.1000698708260213E-2</v>
      </c>
    </row>
    <row r="423" spans="2:8" hidden="1" x14ac:dyDescent="0.2">
      <c r="B423" s="8">
        <v>43883</v>
      </c>
      <c r="C423" s="9">
        <f t="shared" ca="1" si="24"/>
        <v>14902.579875825008</v>
      </c>
      <c r="D423" s="9">
        <f t="shared" ca="1" si="25"/>
        <v>12275.278769845634</v>
      </c>
      <c r="E423" s="10">
        <f t="shared" ca="1" si="26"/>
        <v>0.25000007386504286</v>
      </c>
      <c r="G423" s="8">
        <v>43883</v>
      </c>
      <c r="H423" s="10">
        <f t="shared" ca="1" si="27"/>
        <v>4.5896986873745368E-2</v>
      </c>
    </row>
    <row r="424" spans="2:8" hidden="1" x14ac:dyDescent="0.2">
      <c r="B424" s="8">
        <v>43884</v>
      </c>
      <c r="C424" s="9">
        <f t="shared" ca="1" si="24"/>
        <v>17413.76895597297</v>
      </c>
      <c r="D424" s="9">
        <f t="shared" ca="1" si="25"/>
        <v>14862.496800709374</v>
      </c>
      <c r="E424" s="10">
        <f t="shared" ca="1" si="26"/>
        <v>0.18113649345899022</v>
      </c>
      <c r="G424" s="8">
        <v>43884</v>
      </c>
      <c r="H424" s="10">
        <f t="shared" ca="1" si="27"/>
        <v>6.9549219291409198E-2</v>
      </c>
    </row>
    <row r="425" spans="2:8" hidden="1" x14ac:dyDescent="0.2">
      <c r="B425" s="8">
        <v>43885</v>
      </c>
      <c r="C425" s="9">
        <f t="shared" ca="1" si="24"/>
        <v>14301.862878386466</v>
      </c>
      <c r="D425" s="9">
        <f t="shared" ca="1" si="25"/>
        <v>13734.609024477923</v>
      </c>
      <c r="E425" s="10">
        <f t="shared" ca="1" si="26"/>
        <v>2.139383600011513E-2</v>
      </c>
      <c r="G425" s="8">
        <v>43885</v>
      </c>
      <c r="H425" s="10">
        <f t="shared" ca="1" si="27"/>
        <v>6.4247996975612129E-3</v>
      </c>
    </row>
    <row r="426" spans="2:8" hidden="1" x14ac:dyDescent="0.2">
      <c r="B426" s="8">
        <v>43886</v>
      </c>
      <c r="C426" s="9">
        <f t="shared" ca="1" si="24"/>
        <v>14630.854344042513</v>
      </c>
      <c r="D426" s="9">
        <f t="shared" ca="1" si="25"/>
        <v>17720.950668238525</v>
      </c>
      <c r="E426" s="10">
        <f t="shared" ca="1" si="26"/>
        <v>0.18574415323455876</v>
      </c>
      <c r="G426" s="8">
        <v>43886</v>
      </c>
      <c r="H426" s="10">
        <f t="shared" ca="1" si="27"/>
        <v>3.1397880177663254E-3</v>
      </c>
    </row>
    <row r="427" spans="2:8" hidden="1" x14ac:dyDescent="0.2">
      <c r="B427" s="8">
        <v>43887</v>
      </c>
      <c r="C427" s="9">
        <f t="shared" ca="1" si="24"/>
        <v>15237.291016521061</v>
      </c>
      <c r="D427" s="9">
        <f t="shared" ca="1" si="25"/>
        <v>16015.773223674594</v>
      </c>
      <c r="E427" s="10">
        <f t="shared" ca="1" si="26"/>
        <v>7.1907248446133984E-2</v>
      </c>
      <c r="G427" s="8">
        <v>43887</v>
      </c>
      <c r="H427" s="10">
        <f t="shared" ca="1" si="27"/>
        <v>5.547944522206116E-3</v>
      </c>
    </row>
    <row r="428" spans="2:8" hidden="1" x14ac:dyDescent="0.2">
      <c r="B428" s="8">
        <v>43888</v>
      </c>
      <c r="C428" s="9">
        <f t="shared" ca="1" si="24"/>
        <v>11731.584030399319</v>
      </c>
      <c r="D428" s="9">
        <f t="shared" ca="1" si="25"/>
        <v>16514.502067411817</v>
      </c>
      <c r="E428" s="10">
        <f t="shared" ca="1" si="26"/>
        <v>2.0551181146770459E-3</v>
      </c>
      <c r="G428" s="8">
        <v>43888</v>
      </c>
      <c r="H428" s="10">
        <f t="shared" ca="1" si="27"/>
        <v>4.3400116724752694E-3</v>
      </c>
    </row>
    <row r="429" spans="2:8" hidden="1" x14ac:dyDescent="0.2">
      <c r="B429" s="8">
        <v>43889</v>
      </c>
      <c r="C429" s="9">
        <f t="shared" ca="1" si="24"/>
        <v>13001.770683935254</v>
      </c>
      <c r="D429" s="9">
        <f t="shared" ca="1" si="25"/>
        <v>16032.025675182646</v>
      </c>
      <c r="E429" s="10">
        <f t="shared" ca="1" si="26"/>
        <v>0.23164267203831027</v>
      </c>
      <c r="G429" s="8">
        <v>43889</v>
      </c>
      <c r="H429" s="10">
        <f t="shared" ca="1" si="27"/>
        <v>1.2205452871496992E-3</v>
      </c>
    </row>
    <row r="430" spans="2:8" hidden="1" x14ac:dyDescent="0.2">
      <c r="B430" s="8">
        <v>43890</v>
      </c>
      <c r="C430" s="9">
        <f t="shared" ca="1" si="24"/>
        <v>13215.656478702604</v>
      </c>
      <c r="D430" s="9">
        <f t="shared" ca="1" si="25"/>
        <v>14583.314892931776</v>
      </c>
      <c r="E430" s="10">
        <f t="shared" ca="1" si="26"/>
        <v>5.8426741022146345E-2</v>
      </c>
      <c r="G430" s="8">
        <v>43890</v>
      </c>
      <c r="H430" s="10">
        <f t="shared" ca="1" si="27"/>
        <v>5.8041540802677392E-2</v>
      </c>
    </row>
    <row r="431" spans="2:8" hidden="1" x14ac:dyDescent="0.2">
      <c r="B431" s="8">
        <v>43891</v>
      </c>
      <c r="C431" s="9">
        <f t="shared" ca="1" si="24"/>
        <v>12157.119219060194</v>
      </c>
      <c r="D431" s="9">
        <f t="shared" ca="1" si="25"/>
        <v>17521.272376094046</v>
      </c>
      <c r="E431" s="10">
        <f t="shared" ca="1" si="26"/>
        <v>1.8528855661082366E-2</v>
      </c>
      <c r="G431" s="8">
        <v>43891</v>
      </c>
      <c r="H431" s="10">
        <f t="shared" ca="1" si="27"/>
        <v>6.5907016861738638E-2</v>
      </c>
    </row>
    <row r="432" spans="2:8" hidden="1" x14ac:dyDescent="0.2">
      <c r="B432" s="8">
        <v>43892</v>
      </c>
      <c r="C432" s="9">
        <f t="shared" ca="1" si="24"/>
        <v>13903.967131230556</v>
      </c>
      <c r="D432" s="9">
        <f t="shared" ca="1" si="25"/>
        <v>17996.889738304322</v>
      </c>
      <c r="E432" s="10">
        <f t="shared" ca="1" si="26"/>
        <v>5.0874880025563375E-2</v>
      </c>
      <c r="G432" s="8">
        <v>43892</v>
      </c>
      <c r="H432" s="10">
        <f t="shared" ca="1" si="27"/>
        <v>7.760550643198044E-3</v>
      </c>
    </row>
    <row r="433" spans="2:8" hidden="1" x14ac:dyDescent="0.2">
      <c r="B433" s="8">
        <v>43893</v>
      </c>
      <c r="C433" s="9">
        <f t="shared" ca="1" si="24"/>
        <v>12476.65361779719</v>
      </c>
      <c r="D433" s="9">
        <f t="shared" ca="1" si="25"/>
        <v>10993.665717145188</v>
      </c>
      <c r="E433" s="10">
        <f t="shared" ca="1" si="26"/>
        <v>6.6269508474192301E-2</v>
      </c>
      <c r="G433" s="8">
        <v>43893</v>
      </c>
      <c r="H433" s="10">
        <f t="shared" ca="1" si="27"/>
        <v>5.812512904838827E-2</v>
      </c>
    </row>
    <row r="434" spans="2:8" hidden="1" x14ac:dyDescent="0.2">
      <c r="B434" s="8">
        <v>43894</v>
      </c>
      <c r="C434" s="9">
        <f t="shared" ca="1" si="24"/>
        <v>13755.9292669685</v>
      </c>
      <c r="D434" s="9">
        <f t="shared" ca="1" si="25"/>
        <v>15649.861020950078</v>
      </c>
      <c r="E434" s="10">
        <f t="shared" ca="1" si="26"/>
        <v>5.4924194716076166E-2</v>
      </c>
      <c r="G434" s="8">
        <v>43894</v>
      </c>
      <c r="H434" s="10">
        <f t="shared" ca="1" si="27"/>
        <v>3.490060765990869E-2</v>
      </c>
    </row>
    <row r="435" spans="2:8" hidden="1" x14ac:dyDescent="0.2">
      <c r="B435" s="8">
        <v>43895</v>
      </c>
      <c r="C435" s="9">
        <f t="shared" ca="1" si="24"/>
        <v>16431.57131576875</v>
      </c>
      <c r="D435" s="9">
        <f t="shared" ca="1" si="25"/>
        <v>10100.641937197714</v>
      </c>
      <c r="E435" s="10">
        <f t="shared" ca="1" si="26"/>
        <v>3.6525590967540107E-2</v>
      </c>
      <c r="G435" s="8">
        <v>43895</v>
      </c>
      <c r="H435" s="10">
        <f t="shared" ca="1" si="27"/>
        <v>1.6895625760096535E-3</v>
      </c>
    </row>
    <row r="436" spans="2:8" hidden="1" x14ac:dyDescent="0.2">
      <c r="B436" s="8">
        <v>43896</v>
      </c>
      <c r="C436" s="9">
        <f t="shared" ca="1" si="24"/>
        <v>11494.336720452946</v>
      </c>
      <c r="D436" s="9">
        <f t="shared" ca="1" si="25"/>
        <v>15500.948193707005</v>
      </c>
      <c r="E436" s="10">
        <f t="shared" ca="1" si="26"/>
        <v>7.5583677353958545E-2</v>
      </c>
      <c r="G436" s="8">
        <v>43896</v>
      </c>
      <c r="H436" s="10">
        <f t="shared" ca="1" si="27"/>
        <v>1.1870561947559893E-2</v>
      </c>
    </row>
    <row r="437" spans="2:8" hidden="1" x14ac:dyDescent="0.2">
      <c r="B437" s="8">
        <v>43897</v>
      </c>
      <c r="C437" s="9">
        <f t="shared" ca="1" si="24"/>
        <v>14076.05386203821</v>
      </c>
      <c r="D437" s="9">
        <f t="shared" ca="1" si="25"/>
        <v>13257.192716811929</v>
      </c>
      <c r="E437" s="10">
        <f t="shared" ca="1" si="26"/>
        <v>0.13292615414278866</v>
      </c>
      <c r="G437" s="8">
        <v>43897</v>
      </c>
      <c r="H437" s="10">
        <f t="shared" ca="1" si="27"/>
        <v>9.822392696062018E-3</v>
      </c>
    </row>
    <row r="438" spans="2:8" hidden="1" x14ac:dyDescent="0.2">
      <c r="B438" s="8">
        <v>43898</v>
      </c>
      <c r="C438" s="9">
        <f t="shared" ca="1" si="24"/>
        <v>10824.824858744771</v>
      </c>
      <c r="D438" s="9">
        <f t="shared" ca="1" si="25"/>
        <v>15724.915293872122</v>
      </c>
      <c r="E438" s="10">
        <f t="shared" ca="1" si="26"/>
        <v>6.8209924351475132E-2</v>
      </c>
      <c r="G438" s="8">
        <v>43898</v>
      </c>
      <c r="H438" s="10">
        <f t="shared" ca="1" si="27"/>
        <v>7.798908749114211E-3</v>
      </c>
    </row>
    <row r="439" spans="2:8" hidden="1" x14ac:dyDescent="0.2">
      <c r="B439" s="8">
        <v>43899</v>
      </c>
      <c r="C439" s="9">
        <f t="shared" ca="1" si="24"/>
        <v>11241.138736622464</v>
      </c>
      <c r="D439" s="9">
        <f t="shared" ca="1" si="25"/>
        <v>13501.991903327806</v>
      </c>
      <c r="E439" s="10">
        <f t="shared" ca="1" si="26"/>
        <v>0.26650457314863718</v>
      </c>
      <c r="G439" s="8">
        <v>43899</v>
      </c>
      <c r="H439" s="10">
        <f t="shared" ca="1" si="27"/>
        <v>2.9096865206250648E-2</v>
      </c>
    </row>
    <row r="440" spans="2:8" hidden="1" x14ac:dyDescent="0.2">
      <c r="B440" s="8">
        <v>43900</v>
      </c>
      <c r="C440" s="9">
        <f t="shared" ca="1" si="24"/>
        <v>14920.310724669918</v>
      </c>
      <c r="D440" s="9">
        <f t="shared" ca="1" si="25"/>
        <v>11363.293113083193</v>
      </c>
      <c r="E440" s="10">
        <f t="shared" ca="1" si="26"/>
        <v>9.148238310025851E-2</v>
      </c>
      <c r="G440" s="8">
        <v>43900</v>
      </c>
      <c r="H440" s="10">
        <f t="shared" ca="1" si="27"/>
        <v>1.1695196600868344E-2</v>
      </c>
    </row>
    <row r="441" spans="2:8" hidden="1" x14ac:dyDescent="0.2">
      <c r="B441" s="8">
        <v>43901</v>
      </c>
      <c r="C441" s="9">
        <f t="shared" ca="1" si="24"/>
        <v>10827.104180154207</v>
      </c>
      <c r="D441" s="9">
        <f t="shared" ca="1" si="25"/>
        <v>14303.079576667718</v>
      </c>
      <c r="E441" s="10">
        <f t="shared" ca="1" si="26"/>
        <v>2.8883275013754969E-2</v>
      </c>
      <c r="G441" s="8">
        <v>43901</v>
      </c>
      <c r="H441" s="10">
        <f t="shared" ca="1" si="27"/>
        <v>5.560187429223877E-2</v>
      </c>
    </row>
    <row r="442" spans="2:8" hidden="1" x14ac:dyDescent="0.2">
      <c r="B442" s="8">
        <v>43902</v>
      </c>
      <c r="C442" s="9">
        <f t="shared" ca="1" si="24"/>
        <v>13194.117320163883</v>
      </c>
      <c r="D442" s="9">
        <f t="shared" ca="1" si="25"/>
        <v>17433.340043967892</v>
      </c>
      <c r="E442" s="10">
        <f t="shared" ca="1" si="26"/>
        <v>0.25138323812029195</v>
      </c>
      <c r="G442" s="8">
        <v>43902</v>
      </c>
      <c r="H442" s="10">
        <f t="shared" ca="1" si="27"/>
        <v>6.2719870643869552E-2</v>
      </c>
    </row>
    <row r="443" spans="2:8" hidden="1" x14ac:dyDescent="0.2">
      <c r="B443" s="8">
        <v>43903</v>
      </c>
      <c r="C443" s="9">
        <f t="shared" ca="1" si="24"/>
        <v>15435.353797116753</v>
      </c>
      <c r="D443" s="9">
        <f t="shared" ca="1" si="25"/>
        <v>15588.858561567589</v>
      </c>
      <c r="E443" s="10">
        <f t="shared" ca="1" si="26"/>
        <v>0.25530068486397678</v>
      </c>
      <c r="G443" s="8">
        <v>43903</v>
      </c>
      <c r="H443" s="10">
        <f t="shared" ca="1" si="27"/>
        <v>2.8988598979407268E-2</v>
      </c>
    </row>
    <row r="444" spans="2:8" hidden="1" x14ac:dyDescent="0.2">
      <c r="B444" s="8">
        <v>43904</v>
      </c>
      <c r="C444" s="9">
        <f t="shared" ca="1" si="24"/>
        <v>14982.406405887345</v>
      </c>
      <c r="D444" s="9">
        <f t="shared" ca="1" si="25"/>
        <v>12178.789156219549</v>
      </c>
      <c r="E444" s="10">
        <f t="shared" ca="1" si="26"/>
        <v>0.13969553306554361</v>
      </c>
      <c r="G444" s="8">
        <v>43904</v>
      </c>
      <c r="H444" s="10">
        <f t="shared" ca="1" si="27"/>
        <v>6.6638568008242818E-2</v>
      </c>
    </row>
    <row r="445" spans="2:8" hidden="1" x14ac:dyDescent="0.2">
      <c r="B445" s="8">
        <v>43905</v>
      </c>
      <c r="C445" s="9">
        <f t="shared" ca="1" si="24"/>
        <v>11851.980009531853</v>
      </c>
      <c r="D445" s="9">
        <f t="shared" ca="1" si="25"/>
        <v>10241.322328288341</v>
      </c>
      <c r="E445" s="10">
        <f t="shared" ca="1" si="26"/>
        <v>0.22802523340955433</v>
      </c>
      <c r="G445" s="8">
        <v>43905</v>
      </c>
      <c r="H445" s="10">
        <f t="shared" ca="1" si="27"/>
        <v>7.8557797014239417E-3</v>
      </c>
    </row>
    <row r="446" spans="2:8" hidden="1" x14ac:dyDescent="0.2">
      <c r="B446" s="8">
        <v>43906</v>
      </c>
      <c r="C446" s="9">
        <f t="shared" ca="1" si="24"/>
        <v>11131.131761297727</v>
      </c>
      <c r="D446" s="9">
        <f t="shared" ca="1" si="25"/>
        <v>11116.464267633935</v>
      </c>
      <c r="E446" s="10">
        <f t="shared" ca="1" si="26"/>
        <v>0.10618688375458728</v>
      </c>
      <c r="G446" s="8">
        <v>43906</v>
      </c>
      <c r="H446" s="10">
        <f t="shared" ca="1" si="27"/>
        <v>2.4405073149393462E-2</v>
      </c>
    </row>
    <row r="447" spans="2:8" hidden="1" x14ac:dyDescent="0.2">
      <c r="B447" s="8">
        <v>43907</v>
      </c>
      <c r="C447" s="9">
        <f t="shared" ca="1" si="24"/>
        <v>12656.201464420115</v>
      </c>
      <c r="D447" s="9">
        <f t="shared" ca="1" si="25"/>
        <v>13681.863870065321</v>
      </c>
      <c r="E447" s="10">
        <f t="shared" ca="1" si="26"/>
        <v>0.23131413252449418</v>
      </c>
      <c r="G447" s="8">
        <v>43907</v>
      </c>
      <c r="H447" s="10">
        <f t="shared" ca="1" si="27"/>
        <v>5.9904974683200149E-2</v>
      </c>
    </row>
    <row r="448" spans="2:8" hidden="1" x14ac:dyDescent="0.2">
      <c r="B448" s="8">
        <v>43908</v>
      </c>
      <c r="C448" s="9">
        <f t="shared" ca="1" si="24"/>
        <v>15407.286268755968</v>
      </c>
      <c r="D448" s="9">
        <f t="shared" ca="1" si="25"/>
        <v>15117.338684247083</v>
      </c>
      <c r="E448" s="10">
        <f t="shared" ca="1" si="26"/>
        <v>0.14775394797521105</v>
      </c>
      <c r="G448" s="8">
        <v>43908</v>
      </c>
      <c r="H448" s="10">
        <f t="shared" ca="1" si="27"/>
        <v>3.2013882624061532E-2</v>
      </c>
    </row>
    <row r="449" spans="2:8" hidden="1" x14ac:dyDescent="0.2">
      <c r="B449" s="8">
        <v>43909</v>
      </c>
      <c r="C449" s="9">
        <f t="shared" ca="1" si="24"/>
        <v>14017.907261288907</v>
      </c>
      <c r="D449" s="9">
        <f t="shared" ca="1" si="25"/>
        <v>12638.12227130732</v>
      </c>
      <c r="E449" s="10">
        <f t="shared" ca="1" si="26"/>
        <v>0.26637583218536548</v>
      </c>
      <c r="G449" s="8">
        <v>43909</v>
      </c>
      <c r="H449" s="10">
        <f t="shared" ca="1" si="27"/>
        <v>4.0328705758182391E-2</v>
      </c>
    </row>
    <row r="450" spans="2:8" hidden="1" x14ac:dyDescent="0.2">
      <c r="B450" s="8">
        <v>43910</v>
      </c>
      <c r="C450" s="9">
        <f t="shared" ca="1" si="24"/>
        <v>14163.234778094942</v>
      </c>
      <c r="D450" s="9">
        <f t="shared" ca="1" si="25"/>
        <v>15644.503214374145</v>
      </c>
      <c r="E450" s="10">
        <f t="shared" ca="1" si="26"/>
        <v>1.6797582688324254E-2</v>
      </c>
      <c r="G450" s="8">
        <v>43910</v>
      </c>
      <c r="H450" s="10">
        <f t="shared" ca="1" si="27"/>
        <v>2.817700929016231E-2</v>
      </c>
    </row>
    <row r="451" spans="2:8" hidden="1" x14ac:dyDescent="0.2">
      <c r="B451" s="8">
        <v>43911</v>
      </c>
      <c r="C451" s="9">
        <f t="shared" ca="1" si="24"/>
        <v>11256.325511155623</v>
      </c>
      <c r="D451" s="9">
        <f t="shared" ca="1" si="25"/>
        <v>13883.953271344753</v>
      </c>
      <c r="E451" s="10">
        <f t="shared" ca="1" si="26"/>
        <v>3.2899157913824917E-2</v>
      </c>
      <c r="G451" s="8">
        <v>43911</v>
      </c>
      <c r="H451" s="10">
        <f t="shared" ca="1" si="27"/>
        <v>5.2146614527849411E-2</v>
      </c>
    </row>
    <row r="452" spans="2:8" hidden="1" x14ac:dyDescent="0.2">
      <c r="B452" s="8">
        <v>43912</v>
      </c>
      <c r="C452" s="9">
        <f t="shared" ca="1" si="24"/>
        <v>15921.035679910488</v>
      </c>
      <c r="D452" s="9">
        <f t="shared" ca="1" si="25"/>
        <v>17020.585829736519</v>
      </c>
      <c r="E452" s="10">
        <f t="shared" ca="1" si="26"/>
        <v>7.8413237280026596E-2</v>
      </c>
      <c r="G452" s="8">
        <v>43912</v>
      </c>
      <c r="H452" s="10">
        <f t="shared" ca="1" si="27"/>
        <v>1.8226509450401931E-3</v>
      </c>
    </row>
    <row r="453" spans="2:8" hidden="1" x14ac:dyDescent="0.2">
      <c r="B453" s="8">
        <v>43913</v>
      </c>
      <c r="C453" s="9">
        <f t="shared" ca="1" si="24"/>
        <v>14831.898238193913</v>
      </c>
      <c r="D453" s="9">
        <f t="shared" ca="1" si="25"/>
        <v>11924.242783779504</v>
      </c>
      <c r="E453" s="10">
        <f t="shared" ca="1" si="26"/>
        <v>6.9976799937879794E-2</v>
      </c>
      <c r="G453" s="8">
        <v>43913</v>
      </c>
      <c r="H453" s="10">
        <f t="shared" ca="1" si="27"/>
        <v>6.7254543174946474E-2</v>
      </c>
    </row>
    <row r="454" spans="2:8" hidden="1" x14ac:dyDescent="0.2">
      <c r="B454" s="8">
        <v>43914</v>
      </c>
      <c r="C454" s="9">
        <f t="shared" ca="1" si="24"/>
        <v>17971.639031083349</v>
      </c>
      <c r="D454" s="9">
        <f t="shared" ca="1" si="25"/>
        <v>17661.873736106485</v>
      </c>
      <c r="E454" s="10">
        <f t="shared" ca="1" si="26"/>
        <v>0.19941655504000802</v>
      </c>
      <c r="G454" s="8">
        <v>43914</v>
      </c>
      <c r="H454" s="10">
        <f t="shared" ca="1" si="27"/>
        <v>2.6771245230001843E-2</v>
      </c>
    </row>
    <row r="455" spans="2:8" hidden="1" x14ac:dyDescent="0.2">
      <c r="B455" s="8">
        <v>43915</v>
      </c>
      <c r="C455" s="9">
        <f t="shared" ref="C455:C518" ca="1" si="28">RAND()*(18000-10000)+10000</f>
        <v>17832.285988568405</v>
      </c>
      <c r="D455" s="9">
        <f t="shared" ref="D455:D518" ca="1" si="29">RAND()*(18000-10000)+10000</f>
        <v>17380.135769555309</v>
      </c>
      <c r="E455" s="10">
        <f t="shared" ref="E455:E518" ca="1" si="30">RAND()*(30%-0%)+0%</f>
        <v>0.118538745353127</v>
      </c>
      <c r="G455" s="8">
        <v>43915</v>
      </c>
      <c r="H455" s="10">
        <f t="shared" ref="H455:H518" ca="1" si="31">RAND()*(7%-0%)+0%</f>
        <v>8.7754936701489906E-3</v>
      </c>
    </row>
    <row r="456" spans="2:8" hidden="1" x14ac:dyDescent="0.2">
      <c r="B456" s="8">
        <v>43916</v>
      </c>
      <c r="C456" s="9">
        <f t="shared" ca="1" si="28"/>
        <v>10910.126610701785</v>
      </c>
      <c r="D456" s="9">
        <f t="shared" ca="1" si="29"/>
        <v>16806.137237549745</v>
      </c>
      <c r="E456" s="10">
        <f t="shared" ca="1" si="30"/>
        <v>0.1168917076234865</v>
      </c>
      <c r="G456" s="8">
        <v>43916</v>
      </c>
      <c r="H456" s="10">
        <f t="shared" ca="1" si="31"/>
        <v>7.7448608870775192E-3</v>
      </c>
    </row>
    <row r="457" spans="2:8" hidden="1" x14ac:dyDescent="0.2">
      <c r="B457" s="8">
        <v>43917</v>
      </c>
      <c r="C457" s="9">
        <f t="shared" ca="1" si="28"/>
        <v>13304.343001146</v>
      </c>
      <c r="D457" s="9">
        <f t="shared" ca="1" si="29"/>
        <v>17566.732532970946</v>
      </c>
      <c r="E457" s="10">
        <f t="shared" ca="1" si="30"/>
        <v>0.15046935432732159</v>
      </c>
      <c r="G457" s="8">
        <v>43917</v>
      </c>
      <c r="H457" s="10">
        <f t="shared" ca="1" si="31"/>
        <v>3.0180400521391121E-2</v>
      </c>
    </row>
    <row r="458" spans="2:8" hidden="1" x14ac:dyDescent="0.2">
      <c r="B458" s="8">
        <v>43918</v>
      </c>
      <c r="C458" s="9">
        <f t="shared" ca="1" si="28"/>
        <v>16091.518758141341</v>
      </c>
      <c r="D458" s="9">
        <f t="shared" ca="1" si="29"/>
        <v>16971.418364796871</v>
      </c>
      <c r="E458" s="10">
        <f t="shared" ca="1" si="30"/>
        <v>0.18317490142693452</v>
      </c>
      <c r="G458" s="8">
        <v>43918</v>
      </c>
      <c r="H458" s="10">
        <f t="shared" ca="1" si="31"/>
        <v>3.6833530964370954E-2</v>
      </c>
    </row>
    <row r="459" spans="2:8" hidden="1" x14ac:dyDescent="0.2">
      <c r="B459" s="8">
        <v>43919</v>
      </c>
      <c r="C459" s="9">
        <f t="shared" ca="1" si="28"/>
        <v>15093.06053036611</v>
      </c>
      <c r="D459" s="9">
        <f t="shared" ca="1" si="29"/>
        <v>10827.467083847836</v>
      </c>
      <c r="E459" s="10">
        <f t="shared" ca="1" si="30"/>
        <v>4.4176573095217851E-2</v>
      </c>
      <c r="G459" s="8">
        <v>43919</v>
      </c>
      <c r="H459" s="10">
        <f t="shared" ca="1" si="31"/>
        <v>6.0178955532173258E-3</v>
      </c>
    </row>
    <row r="460" spans="2:8" hidden="1" x14ac:dyDescent="0.2">
      <c r="B460" s="8">
        <v>43920</v>
      </c>
      <c r="C460" s="9">
        <f t="shared" ca="1" si="28"/>
        <v>17342.554417816289</v>
      </c>
      <c r="D460" s="9">
        <f t="shared" ca="1" si="29"/>
        <v>10261.302961458647</v>
      </c>
      <c r="E460" s="10">
        <f t="shared" ca="1" si="30"/>
        <v>0.26992429984146399</v>
      </c>
      <c r="G460" s="8">
        <v>43920</v>
      </c>
      <c r="H460" s="10">
        <f t="shared" ca="1" si="31"/>
        <v>1.7352777644479157E-3</v>
      </c>
    </row>
    <row r="461" spans="2:8" hidden="1" x14ac:dyDescent="0.2">
      <c r="B461" s="8">
        <v>43921</v>
      </c>
      <c r="C461" s="9">
        <f t="shared" ca="1" si="28"/>
        <v>14252.179214586748</v>
      </c>
      <c r="D461" s="9">
        <f t="shared" ca="1" si="29"/>
        <v>14160.556924721688</v>
      </c>
      <c r="E461" s="10">
        <f t="shared" ca="1" si="30"/>
        <v>0.1307478401337045</v>
      </c>
      <c r="G461" s="8">
        <v>43921</v>
      </c>
      <c r="H461" s="10">
        <f t="shared" ca="1" si="31"/>
        <v>6.4758795865004545E-3</v>
      </c>
    </row>
    <row r="462" spans="2:8" hidden="1" x14ac:dyDescent="0.2">
      <c r="B462" s="8">
        <v>43922</v>
      </c>
      <c r="C462" s="9">
        <f t="shared" ca="1" si="28"/>
        <v>10370.221550960096</v>
      </c>
      <c r="D462" s="9">
        <f t="shared" ca="1" si="29"/>
        <v>12283.690600385306</v>
      </c>
      <c r="E462" s="10">
        <f t="shared" ca="1" si="30"/>
        <v>0.13556016819052172</v>
      </c>
      <c r="G462" s="8">
        <v>43922</v>
      </c>
      <c r="H462" s="10">
        <f t="shared" ca="1" si="31"/>
        <v>1.606483431945048E-2</v>
      </c>
    </row>
    <row r="463" spans="2:8" hidden="1" x14ac:dyDescent="0.2">
      <c r="B463" s="8">
        <v>43923</v>
      </c>
      <c r="C463" s="9">
        <f t="shared" ca="1" si="28"/>
        <v>16838.359082413222</v>
      </c>
      <c r="D463" s="9">
        <f t="shared" ca="1" si="29"/>
        <v>15916.8352724006</v>
      </c>
      <c r="E463" s="10">
        <f t="shared" ca="1" si="30"/>
        <v>0.182121006893425</v>
      </c>
      <c r="G463" s="8">
        <v>43923</v>
      </c>
      <c r="H463" s="10">
        <f t="shared" ca="1" si="31"/>
        <v>3.8163027034444061E-2</v>
      </c>
    </row>
    <row r="464" spans="2:8" hidden="1" x14ac:dyDescent="0.2">
      <c r="B464" s="8">
        <v>43924</v>
      </c>
      <c r="C464" s="9">
        <f t="shared" ca="1" si="28"/>
        <v>16275.490949827235</v>
      </c>
      <c r="D464" s="9">
        <f t="shared" ca="1" si="29"/>
        <v>13913.630788806369</v>
      </c>
      <c r="E464" s="10">
        <f t="shared" ca="1" si="30"/>
        <v>2.7547461931996062E-2</v>
      </c>
      <c r="G464" s="8">
        <v>43924</v>
      </c>
      <c r="H464" s="10">
        <f t="shared" ca="1" si="31"/>
        <v>2.751259244405896E-3</v>
      </c>
    </row>
    <row r="465" spans="2:8" hidden="1" x14ac:dyDescent="0.2">
      <c r="B465" s="8">
        <v>43925</v>
      </c>
      <c r="C465" s="9">
        <f t="shared" ca="1" si="28"/>
        <v>17327.381788969265</v>
      </c>
      <c r="D465" s="9">
        <f t="shared" ca="1" si="29"/>
        <v>14131.724292952864</v>
      </c>
      <c r="E465" s="10">
        <f t="shared" ca="1" si="30"/>
        <v>0.12878397263066407</v>
      </c>
      <c r="G465" s="8">
        <v>43925</v>
      </c>
      <c r="H465" s="10">
        <f t="shared" ca="1" si="31"/>
        <v>4.6670769562832573E-2</v>
      </c>
    </row>
    <row r="466" spans="2:8" hidden="1" x14ac:dyDescent="0.2">
      <c r="B466" s="8">
        <v>43926</v>
      </c>
      <c r="C466" s="9">
        <f t="shared" ca="1" si="28"/>
        <v>13219.799443661508</v>
      </c>
      <c r="D466" s="9">
        <f t="shared" ca="1" si="29"/>
        <v>14496.679009694164</v>
      </c>
      <c r="E466" s="10">
        <f t="shared" ca="1" si="30"/>
        <v>0.19409947505679576</v>
      </c>
      <c r="G466" s="8">
        <v>43926</v>
      </c>
      <c r="H466" s="10">
        <f t="shared" ca="1" si="31"/>
        <v>5.2623071318273359E-2</v>
      </c>
    </row>
    <row r="467" spans="2:8" hidden="1" x14ac:dyDescent="0.2">
      <c r="B467" s="8">
        <v>43927</v>
      </c>
      <c r="C467" s="9">
        <f t="shared" ca="1" si="28"/>
        <v>17059.80802196994</v>
      </c>
      <c r="D467" s="9">
        <f t="shared" ca="1" si="29"/>
        <v>15379.303019814521</v>
      </c>
      <c r="E467" s="10">
        <f t="shared" ca="1" si="30"/>
        <v>7.375779230864811E-2</v>
      </c>
      <c r="G467" s="8">
        <v>43927</v>
      </c>
      <c r="H467" s="10">
        <f t="shared" ca="1" si="31"/>
        <v>4.6925709037253377E-2</v>
      </c>
    </row>
    <row r="468" spans="2:8" hidden="1" x14ac:dyDescent="0.2">
      <c r="B468" s="8">
        <v>43928</v>
      </c>
      <c r="C468" s="9">
        <f t="shared" ca="1" si="28"/>
        <v>13781.025572393566</v>
      </c>
      <c r="D468" s="9">
        <f t="shared" ca="1" si="29"/>
        <v>12463.864125896927</v>
      </c>
      <c r="E468" s="10">
        <f t="shared" ca="1" si="30"/>
        <v>0.1521955434152408</v>
      </c>
      <c r="G468" s="8">
        <v>43928</v>
      </c>
      <c r="H468" s="10">
        <f t="shared" ca="1" si="31"/>
        <v>1.515776583357871E-2</v>
      </c>
    </row>
    <row r="469" spans="2:8" hidden="1" x14ac:dyDescent="0.2">
      <c r="B469" s="8">
        <v>43929</v>
      </c>
      <c r="C469" s="9">
        <f t="shared" ca="1" si="28"/>
        <v>11135.711120841363</v>
      </c>
      <c r="D469" s="9">
        <f t="shared" ca="1" si="29"/>
        <v>17758.419988326299</v>
      </c>
      <c r="E469" s="10">
        <f t="shared" ca="1" si="30"/>
        <v>0.10842922416021124</v>
      </c>
      <c r="G469" s="8">
        <v>43929</v>
      </c>
      <c r="H469" s="10">
        <f t="shared" ca="1" si="31"/>
        <v>5.3887745690696875E-2</v>
      </c>
    </row>
    <row r="470" spans="2:8" hidden="1" x14ac:dyDescent="0.2">
      <c r="B470" s="8">
        <v>43930</v>
      </c>
      <c r="C470" s="9">
        <f t="shared" ca="1" si="28"/>
        <v>13989.900323660473</v>
      </c>
      <c r="D470" s="9">
        <f t="shared" ca="1" si="29"/>
        <v>17346.221780546795</v>
      </c>
      <c r="E470" s="10">
        <f t="shared" ca="1" si="30"/>
        <v>0.13514115459268214</v>
      </c>
      <c r="G470" s="8">
        <v>43930</v>
      </c>
      <c r="H470" s="10">
        <f t="shared" ca="1" si="31"/>
        <v>4.4698554641258541E-2</v>
      </c>
    </row>
    <row r="471" spans="2:8" hidden="1" x14ac:dyDescent="0.2">
      <c r="B471" s="8">
        <v>43931</v>
      </c>
      <c r="C471" s="9">
        <f t="shared" ca="1" si="28"/>
        <v>10891.689112533975</v>
      </c>
      <c r="D471" s="9">
        <f t="shared" ca="1" si="29"/>
        <v>13937.289418812057</v>
      </c>
      <c r="E471" s="10">
        <f t="shared" ca="1" si="30"/>
        <v>0.26712903223552564</v>
      </c>
      <c r="G471" s="8">
        <v>43931</v>
      </c>
      <c r="H471" s="10">
        <f t="shared" ca="1" si="31"/>
        <v>2.9629537237880348E-2</v>
      </c>
    </row>
    <row r="472" spans="2:8" hidden="1" x14ac:dyDescent="0.2">
      <c r="B472" s="8">
        <v>43932</v>
      </c>
      <c r="C472" s="9">
        <f t="shared" ca="1" si="28"/>
        <v>10665.034492088243</v>
      </c>
      <c r="D472" s="9">
        <f t="shared" ca="1" si="29"/>
        <v>13832.897449570994</v>
      </c>
      <c r="E472" s="10">
        <f t="shared" ca="1" si="30"/>
        <v>0.22650799486407333</v>
      </c>
      <c r="G472" s="8">
        <v>43932</v>
      </c>
      <c r="H472" s="10">
        <f t="shared" ca="1" si="31"/>
        <v>6.6776004029070806E-3</v>
      </c>
    </row>
    <row r="473" spans="2:8" hidden="1" x14ac:dyDescent="0.2">
      <c r="B473" s="8">
        <v>43933</v>
      </c>
      <c r="C473" s="9">
        <f t="shared" ca="1" si="28"/>
        <v>14595.608422021109</v>
      </c>
      <c r="D473" s="9">
        <f t="shared" ca="1" si="29"/>
        <v>15480.663613947949</v>
      </c>
      <c r="E473" s="10">
        <f t="shared" ca="1" si="30"/>
        <v>8.0119989805806802E-3</v>
      </c>
      <c r="G473" s="8">
        <v>43933</v>
      </c>
      <c r="H473" s="10">
        <f t="shared" ca="1" si="31"/>
        <v>4.1982882161539633E-3</v>
      </c>
    </row>
    <row r="474" spans="2:8" hidden="1" x14ac:dyDescent="0.2">
      <c r="B474" s="8">
        <v>43934</v>
      </c>
      <c r="C474" s="9">
        <f t="shared" ca="1" si="28"/>
        <v>11658.782611581035</v>
      </c>
      <c r="D474" s="9">
        <f t="shared" ca="1" si="29"/>
        <v>14608.534364610165</v>
      </c>
      <c r="E474" s="10">
        <f t="shared" ca="1" si="30"/>
        <v>1.8512967604707831E-2</v>
      </c>
      <c r="G474" s="8">
        <v>43934</v>
      </c>
      <c r="H474" s="10">
        <f t="shared" ca="1" si="31"/>
        <v>5.2218964654827137E-2</v>
      </c>
    </row>
    <row r="475" spans="2:8" hidden="1" x14ac:dyDescent="0.2">
      <c r="B475" s="8">
        <v>43935</v>
      </c>
      <c r="C475" s="9">
        <f t="shared" ca="1" si="28"/>
        <v>16534.447484246037</v>
      </c>
      <c r="D475" s="9">
        <f t="shared" ca="1" si="29"/>
        <v>13515.711948215212</v>
      </c>
      <c r="E475" s="10">
        <f t="shared" ca="1" si="30"/>
        <v>8.7242938744055448E-2</v>
      </c>
      <c r="G475" s="8">
        <v>43935</v>
      </c>
      <c r="H475" s="10">
        <f t="shared" ca="1" si="31"/>
        <v>3.7813289826589304E-2</v>
      </c>
    </row>
    <row r="476" spans="2:8" hidden="1" x14ac:dyDescent="0.2">
      <c r="B476" s="8">
        <v>43936</v>
      </c>
      <c r="C476" s="9">
        <f t="shared" ca="1" si="28"/>
        <v>16923.963826532494</v>
      </c>
      <c r="D476" s="9">
        <f t="shared" ca="1" si="29"/>
        <v>12649.571357058838</v>
      </c>
      <c r="E476" s="10">
        <f t="shared" ca="1" si="30"/>
        <v>0.28632196970231633</v>
      </c>
      <c r="G476" s="8">
        <v>43936</v>
      </c>
      <c r="H476" s="10">
        <f t="shared" ca="1" si="31"/>
        <v>9.9200392271984218E-3</v>
      </c>
    </row>
    <row r="477" spans="2:8" hidden="1" x14ac:dyDescent="0.2">
      <c r="B477" s="8">
        <v>43937</v>
      </c>
      <c r="C477" s="9">
        <f t="shared" ca="1" si="28"/>
        <v>10053.89271137568</v>
      </c>
      <c r="D477" s="9">
        <f t="shared" ca="1" si="29"/>
        <v>16374.102201787811</v>
      </c>
      <c r="E477" s="10">
        <f t="shared" ca="1" si="30"/>
        <v>0.24618837725203929</v>
      </c>
      <c r="G477" s="8">
        <v>43937</v>
      </c>
      <c r="H477" s="10">
        <f t="shared" ca="1" si="31"/>
        <v>3.0495740181281161E-2</v>
      </c>
    </row>
    <row r="478" spans="2:8" hidden="1" x14ac:dyDescent="0.2">
      <c r="B478" s="8">
        <v>43938</v>
      </c>
      <c r="C478" s="9">
        <f t="shared" ca="1" si="28"/>
        <v>14759.081439737623</v>
      </c>
      <c r="D478" s="9">
        <f t="shared" ca="1" si="29"/>
        <v>16384.194645707663</v>
      </c>
      <c r="E478" s="10">
        <f t="shared" ca="1" si="30"/>
        <v>0.12962170516550445</v>
      </c>
      <c r="G478" s="8">
        <v>43938</v>
      </c>
      <c r="H478" s="10">
        <f t="shared" ca="1" si="31"/>
        <v>3.2597986447679778E-2</v>
      </c>
    </row>
    <row r="479" spans="2:8" hidden="1" x14ac:dyDescent="0.2">
      <c r="B479" s="8">
        <v>43939</v>
      </c>
      <c r="C479" s="9">
        <f t="shared" ca="1" si="28"/>
        <v>13644.122424083385</v>
      </c>
      <c r="D479" s="9">
        <f t="shared" ca="1" si="29"/>
        <v>11495.957155047776</v>
      </c>
      <c r="E479" s="10">
        <f t="shared" ca="1" si="30"/>
        <v>6.5119183918311896E-2</v>
      </c>
      <c r="G479" s="8">
        <v>43939</v>
      </c>
      <c r="H479" s="10">
        <f t="shared" ca="1" si="31"/>
        <v>2.3525279251327441E-2</v>
      </c>
    </row>
    <row r="480" spans="2:8" hidden="1" x14ac:dyDescent="0.2">
      <c r="B480" s="8">
        <v>43940</v>
      </c>
      <c r="C480" s="9">
        <f t="shared" ca="1" si="28"/>
        <v>13392.905358002892</v>
      </c>
      <c r="D480" s="9">
        <f t="shared" ca="1" si="29"/>
        <v>14615.176509494129</v>
      </c>
      <c r="E480" s="10">
        <f t="shared" ca="1" si="30"/>
        <v>0.18749460532828569</v>
      </c>
      <c r="G480" s="8">
        <v>43940</v>
      </c>
      <c r="H480" s="10">
        <f t="shared" ca="1" si="31"/>
        <v>6.8898100482367469E-2</v>
      </c>
    </row>
    <row r="481" spans="2:8" hidden="1" x14ac:dyDescent="0.2">
      <c r="B481" s="8">
        <v>43941</v>
      </c>
      <c r="C481" s="9">
        <f t="shared" ca="1" si="28"/>
        <v>16206.404614079198</v>
      </c>
      <c r="D481" s="9">
        <f t="shared" ca="1" si="29"/>
        <v>10680.136217999579</v>
      </c>
      <c r="E481" s="10">
        <f t="shared" ca="1" si="30"/>
        <v>0.1023215790637234</v>
      </c>
      <c r="G481" s="8">
        <v>43941</v>
      </c>
      <c r="H481" s="10">
        <f t="shared" ca="1" si="31"/>
        <v>5.1739374553796999E-2</v>
      </c>
    </row>
    <row r="482" spans="2:8" hidden="1" x14ac:dyDescent="0.2">
      <c r="B482" s="8">
        <v>43942</v>
      </c>
      <c r="C482" s="9">
        <f t="shared" ca="1" si="28"/>
        <v>15447.783496703061</v>
      </c>
      <c r="D482" s="9">
        <f t="shared" ca="1" si="29"/>
        <v>12649.666456580086</v>
      </c>
      <c r="E482" s="10">
        <f t="shared" ca="1" si="30"/>
        <v>3.1713371520668686E-2</v>
      </c>
      <c r="G482" s="8">
        <v>43942</v>
      </c>
      <c r="H482" s="10">
        <f t="shared" ca="1" si="31"/>
        <v>2.871735081718416E-2</v>
      </c>
    </row>
    <row r="483" spans="2:8" hidden="1" x14ac:dyDescent="0.2">
      <c r="B483" s="8">
        <v>43943</v>
      </c>
      <c r="C483" s="9">
        <f t="shared" ca="1" si="28"/>
        <v>14982.396898498449</v>
      </c>
      <c r="D483" s="9">
        <f t="shared" ca="1" si="29"/>
        <v>13946.718116928516</v>
      </c>
      <c r="E483" s="10">
        <f t="shared" ca="1" si="30"/>
        <v>0.1733272176991035</v>
      </c>
      <c r="G483" s="8">
        <v>43943</v>
      </c>
      <c r="H483" s="10">
        <f t="shared" ca="1" si="31"/>
        <v>5.3509771909447675E-2</v>
      </c>
    </row>
    <row r="484" spans="2:8" hidden="1" x14ac:dyDescent="0.2">
      <c r="B484" s="8">
        <v>43944</v>
      </c>
      <c r="C484" s="9">
        <f t="shared" ca="1" si="28"/>
        <v>13318.614576130061</v>
      </c>
      <c r="D484" s="9">
        <f t="shared" ca="1" si="29"/>
        <v>12801.220350130912</v>
      </c>
      <c r="E484" s="10">
        <f t="shared" ca="1" si="30"/>
        <v>0.28872259397750671</v>
      </c>
      <c r="G484" s="8">
        <v>43944</v>
      </c>
      <c r="H484" s="10">
        <f t="shared" ca="1" si="31"/>
        <v>2.632391628771347E-4</v>
      </c>
    </row>
    <row r="485" spans="2:8" hidden="1" x14ac:dyDescent="0.2">
      <c r="B485" s="8">
        <v>43945</v>
      </c>
      <c r="C485" s="9">
        <f t="shared" ca="1" si="28"/>
        <v>10361.211357875392</v>
      </c>
      <c r="D485" s="9">
        <f t="shared" ca="1" si="29"/>
        <v>14717.050611593204</v>
      </c>
      <c r="E485" s="10">
        <f t="shared" ca="1" si="30"/>
        <v>0.10383352349321148</v>
      </c>
      <c r="G485" s="8">
        <v>43945</v>
      </c>
      <c r="H485" s="10">
        <f t="shared" ca="1" si="31"/>
        <v>6.8056056675658508E-3</v>
      </c>
    </row>
    <row r="486" spans="2:8" hidden="1" x14ac:dyDescent="0.2">
      <c r="B486" s="8">
        <v>43946</v>
      </c>
      <c r="C486" s="9">
        <f t="shared" ca="1" si="28"/>
        <v>10369.364286941791</v>
      </c>
      <c r="D486" s="9">
        <f t="shared" ca="1" si="29"/>
        <v>10639.156149753449</v>
      </c>
      <c r="E486" s="10">
        <f t="shared" ca="1" si="30"/>
        <v>0.22013470387409648</v>
      </c>
      <c r="G486" s="8">
        <v>43946</v>
      </c>
      <c r="H486" s="10">
        <f t="shared" ca="1" si="31"/>
        <v>3.7018635945276136E-2</v>
      </c>
    </row>
    <row r="487" spans="2:8" hidden="1" x14ac:dyDescent="0.2">
      <c r="B487" s="8">
        <v>43947</v>
      </c>
      <c r="C487" s="9">
        <f t="shared" ca="1" si="28"/>
        <v>11370.333657146501</v>
      </c>
      <c r="D487" s="9">
        <f t="shared" ca="1" si="29"/>
        <v>16344.29666225487</v>
      </c>
      <c r="E487" s="10">
        <f t="shared" ca="1" si="30"/>
        <v>8.5232896769737623E-2</v>
      </c>
      <c r="G487" s="8">
        <v>43947</v>
      </c>
      <c r="H487" s="10">
        <f t="shared" ca="1" si="31"/>
        <v>4.7122870449834424E-2</v>
      </c>
    </row>
    <row r="488" spans="2:8" hidden="1" x14ac:dyDescent="0.2">
      <c r="B488" s="8">
        <v>43948</v>
      </c>
      <c r="C488" s="9">
        <f t="shared" ca="1" si="28"/>
        <v>14002.603307307883</v>
      </c>
      <c r="D488" s="9">
        <f t="shared" ca="1" si="29"/>
        <v>11907.5837687823</v>
      </c>
      <c r="E488" s="10">
        <f t="shared" ca="1" si="30"/>
        <v>0.1125931970188902</v>
      </c>
      <c r="G488" s="8">
        <v>43948</v>
      </c>
      <c r="H488" s="10">
        <f t="shared" ca="1" si="31"/>
        <v>2.7528782612776775E-2</v>
      </c>
    </row>
    <row r="489" spans="2:8" hidden="1" x14ac:dyDescent="0.2">
      <c r="B489" s="8">
        <v>43949</v>
      </c>
      <c r="C489" s="9">
        <f t="shared" ca="1" si="28"/>
        <v>16595.173338216071</v>
      </c>
      <c r="D489" s="9">
        <f t="shared" ca="1" si="29"/>
        <v>12739.851164701022</v>
      </c>
      <c r="E489" s="10">
        <f t="shared" ca="1" si="30"/>
        <v>1.555570973400705E-2</v>
      </c>
      <c r="G489" s="8">
        <v>43949</v>
      </c>
      <c r="H489" s="10">
        <f t="shared" ca="1" si="31"/>
        <v>4.6203227305626295E-2</v>
      </c>
    </row>
    <row r="490" spans="2:8" hidden="1" x14ac:dyDescent="0.2">
      <c r="B490" s="8">
        <v>43950</v>
      </c>
      <c r="C490" s="9">
        <f t="shared" ca="1" si="28"/>
        <v>14638.587312764519</v>
      </c>
      <c r="D490" s="9">
        <f t="shared" ca="1" si="29"/>
        <v>11500.232915231758</v>
      </c>
      <c r="E490" s="10">
        <f t="shared" ca="1" si="30"/>
        <v>0.16685166590601272</v>
      </c>
      <c r="G490" s="8">
        <v>43950</v>
      </c>
      <c r="H490" s="10">
        <f t="shared" ca="1" si="31"/>
        <v>4.356466433979185E-2</v>
      </c>
    </row>
    <row r="491" spans="2:8" hidden="1" x14ac:dyDescent="0.2">
      <c r="B491" s="8">
        <v>43951</v>
      </c>
      <c r="C491" s="9">
        <f t="shared" ca="1" si="28"/>
        <v>15555.29180107683</v>
      </c>
      <c r="D491" s="9">
        <f t="shared" ca="1" si="29"/>
        <v>17805.575999514967</v>
      </c>
      <c r="E491" s="10">
        <f t="shared" ca="1" si="30"/>
        <v>0.10175297358905561</v>
      </c>
      <c r="G491" s="8">
        <v>43951</v>
      </c>
      <c r="H491" s="10">
        <f t="shared" ca="1" si="31"/>
        <v>6.9339537173484123E-2</v>
      </c>
    </row>
    <row r="492" spans="2:8" hidden="1" x14ac:dyDescent="0.2">
      <c r="B492" s="8">
        <v>43952</v>
      </c>
      <c r="C492" s="9">
        <f t="shared" ca="1" si="28"/>
        <v>17989.845537862049</v>
      </c>
      <c r="D492" s="9">
        <f t="shared" ca="1" si="29"/>
        <v>17244.764008940845</v>
      </c>
      <c r="E492" s="10">
        <f t="shared" ca="1" si="30"/>
        <v>0.28564087674328181</v>
      </c>
      <c r="G492" s="8">
        <v>43952</v>
      </c>
      <c r="H492" s="10">
        <f t="shared" ca="1" si="31"/>
        <v>7.2280024871503538E-3</v>
      </c>
    </row>
    <row r="493" spans="2:8" hidden="1" x14ac:dyDescent="0.2">
      <c r="B493" s="8">
        <v>43953</v>
      </c>
      <c r="C493" s="9">
        <f t="shared" ca="1" si="28"/>
        <v>13099.840089581738</v>
      </c>
      <c r="D493" s="9">
        <f t="shared" ca="1" si="29"/>
        <v>14295.638740944582</v>
      </c>
      <c r="E493" s="10">
        <f t="shared" ca="1" si="30"/>
        <v>0.12416902249590631</v>
      </c>
      <c r="G493" s="8">
        <v>43953</v>
      </c>
      <c r="H493" s="10">
        <f t="shared" ca="1" si="31"/>
        <v>2.5511788668153328E-2</v>
      </c>
    </row>
    <row r="494" spans="2:8" hidden="1" x14ac:dyDescent="0.2">
      <c r="B494" s="8">
        <v>43954</v>
      </c>
      <c r="C494" s="9">
        <f t="shared" ca="1" si="28"/>
        <v>13933.876239532052</v>
      </c>
      <c r="D494" s="9">
        <f t="shared" ca="1" si="29"/>
        <v>17714.872061340895</v>
      </c>
      <c r="E494" s="10">
        <f t="shared" ca="1" si="30"/>
        <v>0.216076075837669</v>
      </c>
      <c r="G494" s="8">
        <v>43954</v>
      </c>
      <c r="H494" s="10">
        <f t="shared" ca="1" si="31"/>
        <v>6.4453885417238302E-2</v>
      </c>
    </row>
    <row r="495" spans="2:8" hidden="1" x14ac:dyDescent="0.2">
      <c r="B495" s="8">
        <v>43955</v>
      </c>
      <c r="C495" s="9">
        <f t="shared" ca="1" si="28"/>
        <v>14617.865738853958</v>
      </c>
      <c r="D495" s="9">
        <f t="shared" ca="1" si="29"/>
        <v>11602.238272013798</v>
      </c>
      <c r="E495" s="10">
        <f t="shared" ca="1" si="30"/>
        <v>0.11639056629619264</v>
      </c>
      <c r="G495" s="8">
        <v>43955</v>
      </c>
      <c r="H495" s="10">
        <f t="shared" ca="1" si="31"/>
        <v>3.4516978549931375E-2</v>
      </c>
    </row>
    <row r="496" spans="2:8" hidden="1" x14ac:dyDescent="0.2">
      <c r="B496" s="8">
        <v>43956</v>
      </c>
      <c r="C496" s="9">
        <f t="shared" ca="1" si="28"/>
        <v>13929.996476546581</v>
      </c>
      <c r="D496" s="9">
        <f t="shared" ca="1" si="29"/>
        <v>10823.991710431157</v>
      </c>
      <c r="E496" s="10">
        <f t="shared" ca="1" si="30"/>
        <v>1.6127545961115351E-2</v>
      </c>
      <c r="G496" s="8">
        <v>43956</v>
      </c>
      <c r="H496" s="10">
        <f t="shared" ca="1" si="31"/>
        <v>9.8699429007527741E-3</v>
      </c>
    </row>
    <row r="497" spans="2:8" hidden="1" x14ac:dyDescent="0.2">
      <c r="B497" s="8">
        <v>43957</v>
      </c>
      <c r="C497" s="9">
        <f t="shared" ca="1" si="28"/>
        <v>17981.09425078765</v>
      </c>
      <c r="D497" s="9">
        <f t="shared" ca="1" si="29"/>
        <v>13614.615557751305</v>
      </c>
      <c r="E497" s="10">
        <f t="shared" ca="1" si="30"/>
        <v>7.4128186322883233E-2</v>
      </c>
      <c r="G497" s="8">
        <v>43957</v>
      </c>
      <c r="H497" s="10">
        <f t="shared" ca="1" si="31"/>
        <v>6.7183504410277314E-3</v>
      </c>
    </row>
    <row r="498" spans="2:8" hidden="1" x14ac:dyDescent="0.2">
      <c r="B498" s="8">
        <v>43958</v>
      </c>
      <c r="C498" s="9">
        <f t="shared" ca="1" si="28"/>
        <v>10551.700472423552</v>
      </c>
      <c r="D498" s="9">
        <f t="shared" ca="1" si="29"/>
        <v>17992.644842984046</v>
      </c>
      <c r="E498" s="10">
        <f t="shared" ca="1" si="30"/>
        <v>0.19109053674789014</v>
      </c>
      <c r="G498" s="8">
        <v>43958</v>
      </c>
      <c r="H498" s="10">
        <f t="shared" ca="1" si="31"/>
        <v>1.240200249882812E-2</v>
      </c>
    </row>
    <row r="499" spans="2:8" hidden="1" x14ac:dyDescent="0.2">
      <c r="B499" s="8">
        <v>43959</v>
      </c>
      <c r="C499" s="9">
        <f t="shared" ca="1" si="28"/>
        <v>13525.55976605863</v>
      </c>
      <c r="D499" s="9">
        <f t="shared" ca="1" si="29"/>
        <v>11905.097375497769</v>
      </c>
      <c r="E499" s="10">
        <f t="shared" ca="1" si="30"/>
        <v>5.8661033788804925E-2</v>
      </c>
      <c r="G499" s="8">
        <v>43959</v>
      </c>
      <c r="H499" s="10">
        <f t="shared" ca="1" si="31"/>
        <v>5.4576114330356543E-2</v>
      </c>
    </row>
    <row r="500" spans="2:8" hidden="1" x14ac:dyDescent="0.2">
      <c r="B500" s="8">
        <v>43960</v>
      </c>
      <c r="C500" s="9">
        <f t="shared" ca="1" si="28"/>
        <v>15404.281789327764</v>
      </c>
      <c r="D500" s="9">
        <f t="shared" ca="1" si="29"/>
        <v>12317.238526823472</v>
      </c>
      <c r="E500" s="10">
        <f t="shared" ca="1" si="30"/>
        <v>0.2130156422697537</v>
      </c>
      <c r="G500" s="8">
        <v>43960</v>
      </c>
      <c r="H500" s="10">
        <f t="shared" ca="1" si="31"/>
        <v>3.8486874189116935E-2</v>
      </c>
    </row>
    <row r="501" spans="2:8" hidden="1" x14ac:dyDescent="0.2">
      <c r="B501" s="8">
        <v>43961</v>
      </c>
      <c r="C501" s="9">
        <f t="shared" ca="1" si="28"/>
        <v>11656.674060685273</v>
      </c>
      <c r="D501" s="9">
        <f t="shared" ca="1" si="29"/>
        <v>16210.035855360546</v>
      </c>
      <c r="E501" s="10">
        <f t="shared" ca="1" si="30"/>
        <v>5.9709461053689704E-2</v>
      </c>
      <c r="G501" s="8">
        <v>43961</v>
      </c>
      <c r="H501" s="10">
        <f t="shared" ca="1" si="31"/>
        <v>3.0109104468175937E-2</v>
      </c>
    </row>
    <row r="502" spans="2:8" hidden="1" x14ac:dyDescent="0.2">
      <c r="B502" s="8">
        <v>43962</v>
      </c>
      <c r="C502" s="9">
        <f t="shared" ca="1" si="28"/>
        <v>10240.881578269833</v>
      </c>
      <c r="D502" s="9">
        <f t="shared" ca="1" si="29"/>
        <v>13986.047685294208</v>
      </c>
      <c r="E502" s="10">
        <f t="shared" ca="1" si="30"/>
        <v>1.7505611185141334E-2</v>
      </c>
      <c r="G502" s="8">
        <v>43962</v>
      </c>
      <c r="H502" s="10">
        <f t="shared" ca="1" si="31"/>
        <v>5.4840734310938862E-3</v>
      </c>
    </row>
    <row r="503" spans="2:8" hidden="1" x14ac:dyDescent="0.2">
      <c r="B503" s="8">
        <v>43963</v>
      </c>
      <c r="C503" s="9">
        <f t="shared" ca="1" si="28"/>
        <v>14950.571939725523</v>
      </c>
      <c r="D503" s="9">
        <f t="shared" ca="1" si="29"/>
        <v>11754.500986770925</v>
      </c>
      <c r="E503" s="10">
        <f t="shared" ca="1" si="30"/>
        <v>0.20742234664627324</v>
      </c>
      <c r="G503" s="8">
        <v>43963</v>
      </c>
      <c r="H503" s="10">
        <f t="shared" ca="1" si="31"/>
        <v>2.1338168344111789E-2</v>
      </c>
    </row>
    <row r="504" spans="2:8" hidden="1" x14ac:dyDescent="0.2">
      <c r="B504" s="8">
        <v>43964</v>
      </c>
      <c r="C504" s="9">
        <f t="shared" ca="1" si="28"/>
        <v>14562.569735196466</v>
      </c>
      <c r="D504" s="9">
        <f t="shared" ca="1" si="29"/>
        <v>11198.633214787989</v>
      </c>
      <c r="E504" s="10">
        <f t="shared" ca="1" si="30"/>
        <v>4.1881864893725793E-2</v>
      </c>
      <c r="G504" s="8">
        <v>43964</v>
      </c>
      <c r="H504" s="10">
        <f t="shared" ca="1" si="31"/>
        <v>2.2288498019846972E-3</v>
      </c>
    </row>
    <row r="505" spans="2:8" hidden="1" x14ac:dyDescent="0.2">
      <c r="B505" s="8">
        <v>43965</v>
      </c>
      <c r="C505" s="9">
        <f t="shared" ca="1" si="28"/>
        <v>10855.379407868606</v>
      </c>
      <c r="D505" s="9">
        <f t="shared" ca="1" si="29"/>
        <v>16640.927046144665</v>
      </c>
      <c r="E505" s="10">
        <f t="shared" ca="1" si="30"/>
        <v>0.18274600200442023</v>
      </c>
      <c r="G505" s="8">
        <v>43965</v>
      </c>
      <c r="H505" s="10">
        <f t="shared" ca="1" si="31"/>
        <v>4.7086761368469107E-2</v>
      </c>
    </row>
    <row r="506" spans="2:8" hidden="1" x14ac:dyDescent="0.2">
      <c r="B506" s="8">
        <v>43966</v>
      </c>
      <c r="C506" s="9">
        <f t="shared" ca="1" si="28"/>
        <v>10301.256670411691</v>
      </c>
      <c r="D506" s="9">
        <f t="shared" ca="1" si="29"/>
        <v>12632.228919705734</v>
      </c>
      <c r="E506" s="10">
        <f t="shared" ca="1" si="30"/>
        <v>6.7530596162091779E-3</v>
      </c>
      <c r="G506" s="8">
        <v>43966</v>
      </c>
      <c r="H506" s="10">
        <f t="shared" ca="1" si="31"/>
        <v>6.818442414291899E-2</v>
      </c>
    </row>
    <row r="507" spans="2:8" hidden="1" x14ac:dyDescent="0.2">
      <c r="B507" s="8">
        <v>43967</v>
      </c>
      <c r="C507" s="9">
        <f t="shared" ca="1" si="28"/>
        <v>13413.891235966203</v>
      </c>
      <c r="D507" s="9">
        <f t="shared" ca="1" si="29"/>
        <v>16335.952977314573</v>
      </c>
      <c r="E507" s="10">
        <f t="shared" ca="1" si="30"/>
        <v>0.2609561563474142</v>
      </c>
      <c r="G507" s="8">
        <v>43967</v>
      </c>
      <c r="H507" s="10">
        <f t="shared" ca="1" si="31"/>
        <v>6.0400549976056032E-2</v>
      </c>
    </row>
    <row r="508" spans="2:8" hidden="1" x14ac:dyDescent="0.2">
      <c r="B508" s="8">
        <v>43968</v>
      </c>
      <c r="C508" s="9">
        <f t="shared" ca="1" si="28"/>
        <v>10508.630046108705</v>
      </c>
      <c r="D508" s="9">
        <f t="shared" ca="1" si="29"/>
        <v>15344.118791190314</v>
      </c>
      <c r="E508" s="10">
        <f t="shared" ca="1" si="30"/>
        <v>0.21757565565020864</v>
      </c>
      <c r="G508" s="8">
        <v>43968</v>
      </c>
      <c r="H508" s="10">
        <f t="shared" ca="1" si="31"/>
        <v>6.6348704842516953E-2</v>
      </c>
    </row>
    <row r="509" spans="2:8" hidden="1" x14ac:dyDescent="0.2">
      <c r="B509" s="8">
        <v>43969</v>
      </c>
      <c r="C509" s="9">
        <f t="shared" ca="1" si="28"/>
        <v>13029.371381727227</v>
      </c>
      <c r="D509" s="9">
        <f t="shared" ca="1" si="29"/>
        <v>15301.125898318127</v>
      </c>
      <c r="E509" s="10">
        <f t="shared" ca="1" si="30"/>
        <v>0.16130658265072464</v>
      </c>
      <c r="G509" s="8">
        <v>43969</v>
      </c>
      <c r="H509" s="10">
        <f t="shared" ca="1" si="31"/>
        <v>5.4731123914947583E-2</v>
      </c>
    </row>
    <row r="510" spans="2:8" hidden="1" x14ac:dyDescent="0.2">
      <c r="B510" s="8">
        <v>43970</v>
      </c>
      <c r="C510" s="9">
        <f t="shared" ca="1" si="28"/>
        <v>14798.521649679557</v>
      </c>
      <c r="D510" s="9">
        <f t="shared" ca="1" si="29"/>
        <v>17128.314703526747</v>
      </c>
      <c r="E510" s="10">
        <f t="shared" ca="1" si="30"/>
        <v>0.28705163915208337</v>
      </c>
      <c r="G510" s="8">
        <v>43970</v>
      </c>
      <c r="H510" s="10">
        <f t="shared" ca="1" si="31"/>
        <v>3.7564943875948678E-2</v>
      </c>
    </row>
    <row r="511" spans="2:8" hidden="1" x14ac:dyDescent="0.2">
      <c r="B511" s="8">
        <v>43971</v>
      </c>
      <c r="C511" s="9">
        <f t="shared" ca="1" si="28"/>
        <v>13410.60192268961</v>
      </c>
      <c r="D511" s="9">
        <f t="shared" ca="1" si="29"/>
        <v>14059.109057058104</v>
      </c>
      <c r="E511" s="10">
        <f t="shared" ca="1" si="30"/>
        <v>5.366248175026498E-2</v>
      </c>
      <c r="G511" s="8">
        <v>43971</v>
      </c>
      <c r="H511" s="10">
        <f t="shared" ca="1" si="31"/>
        <v>5.534772837496197E-2</v>
      </c>
    </row>
    <row r="512" spans="2:8" hidden="1" x14ac:dyDescent="0.2">
      <c r="B512" s="8">
        <v>43972</v>
      </c>
      <c r="C512" s="9">
        <f t="shared" ca="1" si="28"/>
        <v>14048.972416299132</v>
      </c>
      <c r="D512" s="9">
        <f t="shared" ca="1" si="29"/>
        <v>12566.761476455111</v>
      </c>
      <c r="E512" s="10">
        <f t="shared" ca="1" si="30"/>
        <v>3.7887505645529118E-2</v>
      </c>
      <c r="G512" s="8">
        <v>43972</v>
      </c>
      <c r="H512" s="10">
        <f t="shared" ca="1" si="31"/>
        <v>1.1386298773187101E-2</v>
      </c>
    </row>
    <row r="513" spans="2:8" hidden="1" x14ac:dyDescent="0.2">
      <c r="B513" s="8">
        <v>43973</v>
      </c>
      <c r="C513" s="9">
        <f t="shared" ca="1" si="28"/>
        <v>16890.666766482183</v>
      </c>
      <c r="D513" s="9">
        <f t="shared" ca="1" si="29"/>
        <v>15599.690707614398</v>
      </c>
      <c r="E513" s="10">
        <f t="shared" ca="1" si="30"/>
        <v>0.18607322669776</v>
      </c>
      <c r="G513" s="8">
        <v>43973</v>
      </c>
      <c r="H513" s="10">
        <f t="shared" ca="1" si="31"/>
        <v>6.1906718903508691E-2</v>
      </c>
    </row>
    <row r="514" spans="2:8" hidden="1" x14ac:dyDescent="0.2">
      <c r="B514" s="8">
        <v>43974</v>
      </c>
      <c r="C514" s="9">
        <f t="shared" ca="1" si="28"/>
        <v>16796.045861493945</v>
      </c>
      <c r="D514" s="9">
        <f t="shared" ca="1" si="29"/>
        <v>17426.629501046242</v>
      </c>
      <c r="E514" s="10">
        <f t="shared" ca="1" si="30"/>
        <v>6.8444696612307648E-2</v>
      </c>
      <c r="G514" s="8">
        <v>43974</v>
      </c>
      <c r="H514" s="10">
        <f t="shared" ca="1" si="31"/>
        <v>6.3193928345264327E-2</v>
      </c>
    </row>
    <row r="515" spans="2:8" hidden="1" x14ac:dyDescent="0.2">
      <c r="B515" s="8">
        <v>43975</v>
      </c>
      <c r="C515" s="9">
        <f t="shared" ca="1" si="28"/>
        <v>17473.175941171379</v>
      </c>
      <c r="D515" s="9">
        <f t="shared" ca="1" si="29"/>
        <v>12054.225808300982</v>
      </c>
      <c r="E515" s="10">
        <f t="shared" ca="1" si="30"/>
        <v>0.280464322873196</v>
      </c>
      <c r="G515" s="8">
        <v>43975</v>
      </c>
      <c r="H515" s="10">
        <f t="shared" ca="1" si="31"/>
        <v>2.022879310433106E-2</v>
      </c>
    </row>
    <row r="516" spans="2:8" hidden="1" x14ac:dyDescent="0.2">
      <c r="B516" s="8">
        <v>43976</v>
      </c>
      <c r="C516" s="9">
        <f t="shared" ca="1" si="28"/>
        <v>15858.460909602942</v>
      </c>
      <c r="D516" s="9">
        <f t="shared" ca="1" si="29"/>
        <v>10530.396148418557</v>
      </c>
      <c r="E516" s="10">
        <f t="shared" ca="1" si="30"/>
        <v>0.22416892622139692</v>
      </c>
      <c r="G516" s="8">
        <v>43976</v>
      </c>
      <c r="H516" s="10">
        <f t="shared" ca="1" si="31"/>
        <v>4.7612990478494426E-2</v>
      </c>
    </row>
    <row r="517" spans="2:8" hidden="1" x14ac:dyDescent="0.2">
      <c r="B517" s="8">
        <v>43977</v>
      </c>
      <c r="C517" s="9">
        <f t="shared" ca="1" si="28"/>
        <v>13989.28412182299</v>
      </c>
      <c r="D517" s="9">
        <f t="shared" ca="1" si="29"/>
        <v>10097.692785915535</v>
      </c>
      <c r="E517" s="10">
        <f t="shared" ca="1" si="30"/>
        <v>2.9365581626334156E-2</v>
      </c>
      <c r="G517" s="8">
        <v>43977</v>
      </c>
      <c r="H517" s="10">
        <f t="shared" ca="1" si="31"/>
        <v>6.6614377317016471E-2</v>
      </c>
    </row>
    <row r="518" spans="2:8" hidden="1" x14ac:dyDescent="0.2">
      <c r="B518" s="8">
        <v>43978</v>
      </c>
      <c r="C518" s="9">
        <f t="shared" ca="1" si="28"/>
        <v>16047.184383131493</v>
      </c>
      <c r="D518" s="9">
        <f t="shared" ca="1" si="29"/>
        <v>13129.829497892613</v>
      </c>
      <c r="E518" s="10">
        <f t="shared" ca="1" si="30"/>
        <v>4.433928009413849E-2</v>
      </c>
      <c r="G518" s="8">
        <v>43978</v>
      </c>
      <c r="H518" s="10">
        <f t="shared" ca="1" si="31"/>
        <v>3.5671231091678038E-2</v>
      </c>
    </row>
    <row r="519" spans="2:8" hidden="1" x14ac:dyDescent="0.2">
      <c r="B519" s="8">
        <v>43979</v>
      </c>
      <c r="C519" s="9">
        <f t="shared" ref="C519:C582" ca="1" si="32">RAND()*(18000-10000)+10000</f>
        <v>17965.119659983473</v>
      </c>
      <c r="D519" s="9">
        <f t="shared" ref="D519:D582" ca="1" si="33">RAND()*(18000-10000)+10000</f>
        <v>15229.775393545206</v>
      </c>
      <c r="E519" s="10">
        <f t="shared" ref="E519:E582" ca="1" si="34">RAND()*(30%-0%)+0%</f>
        <v>0.23956340472863491</v>
      </c>
      <c r="G519" s="8">
        <v>43979</v>
      </c>
      <c r="H519" s="10">
        <f t="shared" ref="H519:H582" ca="1" si="35">RAND()*(7%-0%)+0%</f>
        <v>2.255558200924911E-2</v>
      </c>
    </row>
    <row r="520" spans="2:8" hidden="1" x14ac:dyDescent="0.2">
      <c r="B520" s="8">
        <v>43980</v>
      </c>
      <c r="C520" s="9">
        <f t="shared" ca="1" si="32"/>
        <v>12312.947596052498</v>
      </c>
      <c r="D520" s="9">
        <f t="shared" ca="1" si="33"/>
        <v>16523.105402802961</v>
      </c>
      <c r="E520" s="10">
        <f t="shared" ca="1" si="34"/>
        <v>0.10565916182248489</v>
      </c>
      <c r="G520" s="8">
        <v>43980</v>
      </c>
      <c r="H520" s="10">
        <f t="shared" ca="1" si="35"/>
        <v>6.5765372592511764E-2</v>
      </c>
    </row>
    <row r="521" spans="2:8" hidden="1" x14ac:dyDescent="0.2">
      <c r="B521" s="8">
        <v>43981</v>
      </c>
      <c r="C521" s="9">
        <f t="shared" ca="1" si="32"/>
        <v>11764.036535912135</v>
      </c>
      <c r="D521" s="9">
        <f t="shared" ca="1" si="33"/>
        <v>12921.830670032057</v>
      </c>
      <c r="E521" s="10">
        <f t="shared" ca="1" si="34"/>
        <v>0.24174948983546757</v>
      </c>
      <c r="G521" s="8">
        <v>43981</v>
      </c>
      <c r="H521" s="10">
        <f t="shared" ca="1" si="35"/>
        <v>1.4147069673708936E-2</v>
      </c>
    </row>
    <row r="522" spans="2:8" hidden="1" x14ac:dyDescent="0.2">
      <c r="B522" s="8">
        <v>43982</v>
      </c>
      <c r="C522" s="9">
        <f t="shared" ca="1" si="32"/>
        <v>12164.912855573519</v>
      </c>
      <c r="D522" s="9">
        <f t="shared" ca="1" si="33"/>
        <v>16987.374010618478</v>
      </c>
      <c r="E522" s="10">
        <f t="shared" ca="1" si="34"/>
        <v>9.2382071566457821E-2</v>
      </c>
      <c r="G522" s="8">
        <v>43982</v>
      </c>
      <c r="H522" s="10">
        <f t="shared" ca="1" si="35"/>
        <v>6.1392260269595718E-2</v>
      </c>
    </row>
    <row r="523" spans="2:8" hidden="1" x14ac:dyDescent="0.2">
      <c r="B523" s="8">
        <v>43983</v>
      </c>
      <c r="C523" s="9">
        <f t="shared" ca="1" si="32"/>
        <v>17289.421099306059</v>
      </c>
      <c r="D523" s="9">
        <f t="shared" ca="1" si="33"/>
        <v>12967.2354589918</v>
      </c>
      <c r="E523" s="10">
        <f t="shared" ca="1" si="34"/>
        <v>0.10431515786464869</v>
      </c>
      <c r="G523" s="8">
        <v>43983</v>
      </c>
      <c r="H523" s="10">
        <f t="shared" ca="1" si="35"/>
        <v>3.8822417698557654E-2</v>
      </c>
    </row>
    <row r="524" spans="2:8" hidden="1" x14ac:dyDescent="0.2">
      <c r="B524" s="8">
        <v>43984</v>
      </c>
      <c r="C524" s="9">
        <f t="shared" ca="1" si="32"/>
        <v>13448.718945251057</v>
      </c>
      <c r="D524" s="9">
        <f t="shared" ca="1" si="33"/>
        <v>12037.305227857712</v>
      </c>
      <c r="E524" s="10">
        <f t="shared" ca="1" si="34"/>
        <v>0.18108035522589708</v>
      </c>
      <c r="G524" s="8">
        <v>43984</v>
      </c>
      <c r="H524" s="10">
        <f t="shared" ca="1" si="35"/>
        <v>3.8675727371809115E-3</v>
      </c>
    </row>
    <row r="525" spans="2:8" hidden="1" x14ac:dyDescent="0.2">
      <c r="B525" s="8">
        <v>43985</v>
      </c>
      <c r="C525" s="9">
        <f t="shared" ca="1" si="32"/>
        <v>17860.34935558277</v>
      </c>
      <c r="D525" s="9">
        <f t="shared" ca="1" si="33"/>
        <v>13457.636943352301</v>
      </c>
      <c r="E525" s="10">
        <f t="shared" ca="1" si="34"/>
        <v>0.19561035443121022</v>
      </c>
      <c r="G525" s="8">
        <v>43985</v>
      </c>
      <c r="H525" s="10">
        <f t="shared" ca="1" si="35"/>
        <v>1.4726897276824486E-2</v>
      </c>
    </row>
    <row r="526" spans="2:8" hidden="1" x14ac:dyDescent="0.2">
      <c r="B526" s="8">
        <v>43986</v>
      </c>
      <c r="C526" s="9">
        <f t="shared" ca="1" si="32"/>
        <v>16407.437083834666</v>
      </c>
      <c r="D526" s="9">
        <f t="shared" ca="1" si="33"/>
        <v>17755.271494122404</v>
      </c>
      <c r="E526" s="10">
        <f t="shared" ca="1" si="34"/>
        <v>0.24192479006268872</v>
      </c>
      <c r="G526" s="8">
        <v>43986</v>
      </c>
      <c r="H526" s="10">
        <f t="shared" ca="1" si="35"/>
        <v>3.8991729408888683E-2</v>
      </c>
    </row>
    <row r="527" spans="2:8" hidden="1" x14ac:dyDescent="0.2">
      <c r="B527" s="8">
        <v>43987</v>
      </c>
      <c r="C527" s="9">
        <f t="shared" ca="1" si="32"/>
        <v>13530.56159440919</v>
      </c>
      <c r="D527" s="9">
        <f t="shared" ca="1" si="33"/>
        <v>13971.931313961084</v>
      </c>
      <c r="E527" s="10">
        <f t="shared" ca="1" si="34"/>
        <v>0.12794326017119415</v>
      </c>
      <c r="G527" s="8">
        <v>43987</v>
      </c>
      <c r="H527" s="10">
        <f t="shared" ca="1" si="35"/>
        <v>2.2680473347064002E-2</v>
      </c>
    </row>
    <row r="528" spans="2:8" hidden="1" x14ac:dyDescent="0.2">
      <c r="B528" s="8">
        <v>43988</v>
      </c>
      <c r="C528" s="9">
        <f t="shared" ca="1" si="32"/>
        <v>13330.655618548391</v>
      </c>
      <c r="D528" s="9">
        <f t="shared" ca="1" si="33"/>
        <v>13096.977190841446</v>
      </c>
      <c r="E528" s="10">
        <f t="shared" ca="1" si="34"/>
        <v>2.2663743956122327E-2</v>
      </c>
      <c r="G528" s="8">
        <v>43988</v>
      </c>
      <c r="H528" s="10">
        <f t="shared" ca="1" si="35"/>
        <v>9.8873158462548984E-3</v>
      </c>
    </row>
    <row r="529" spans="2:8" hidden="1" x14ac:dyDescent="0.2">
      <c r="B529" s="8">
        <v>43989</v>
      </c>
      <c r="C529" s="9">
        <f t="shared" ca="1" si="32"/>
        <v>15849.205245141831</v>
      </c>
      <c r="D529" s="9">
        <f t="shared" ca="1" si="33"/>
        <v>13934.55358894347</v>
      </c>
      <c r="E529" s="10">
        <f t="shared" ca="1" si="34"/>
        <v>0.1118484765490238</v>
      </c>
      <c r="G529" s="8">
        <v>43989</v>
      </c>
      <c r="H529" s="10">
        <f t="shared" ca="1" si="35"/>
        <v>5.0861215209762551E-3</v>
      </c>
    </row>
    <row r="530" spans="2:8" hidden="1" x14ac:dyDescent="0.2">
      <c r="B530" s="8">
        <v>43990</v>
      </c>
      <c r="C530" s="9">
        <f t="shared" ca="1" si="32"/>
        <v>12427.765032872814</v>
      </c>
      <c r="D530" s="9">
        <f t="shared" ca="1" si="33"/>
        <v>17877.854667061059</v>
      </c>
      <c r="E530" s="10">
        <f t="shared" ca="1" si="34"/>
        <v>0.13375412292237024</v>
      </c>
      <c r="G530" s="8">
        <v>43990</v>
      </c>
      <c r="H530" s="10">
        <f t="shared" ca="1" si="35"/>
        <v>2.0533447815731888E-2</v>
      </c>
    </row>
    <row r="531" spans="2:8" hidden="1" x14ac:dyDescent="0.2">
      <c r="B531" s="8">
        <v>43991</v>
      </c>
      <c r="C531" s="9">
        <f t="shared" ca="1" si="32"/>
        <v>16270.81337586567</v>
      </c>
      <c r="D531" s="9">
        <f t="shared" ca="1" si="33"/>
        <v>10059.298540248359</v>
      </c>
      <c r="E531" s="10">
        <f t="shared" ca="1" si="34"/>
        <v>8.6587426255364267E-2</v>
      </c>
      <c r="G531" s="8">
        <v>43991</v>
      </c>
      <c r="H531" s="10">
        <f t="shared" ca="1" si="35"/>
        <v>2.6561740385098582E-2</v>
      </c>
    </row>
    <row r="532" spans="2:8" hidden="1" x14ac:dyDescent="0.2">
      <c r="B532" s="8">
        <v>43992</v>
      </c>
      <c r="C532" s="9">
        <f t="shared" ca="1" si="32"/>
        <v>15819.333631151174</v>
      </c>
      <c r="D532" s="9">
        <f t="shared" ca="1" si="33"/>
        <v>10145.614063910885</v>
      </c>
      <c r="E532" s="10">
        <f t="shared" ca="1" si="34"/>
        <v>3.5837791407623797E-2</v>
      </c>
      <c r="G532" s="8">
        <v>43992</v>
      </c>
      <c r="H532" s="10">
        <f t="shared" ca="1" si="35"/>
        <v>4.2893556781335447E-2</v>
      </c>
    </row>
    <row r="533" spans="2:8" hidden="1" x14ac:dyDescent="0.2">
      <c r="B533" s="8">
        <v>43993</v>
      </c>
      <c r="C533" s="9">
        <f t="shared" ca="1" si="32"/>
        <v>16598.889911699713</v>
      </c>
      <c r="D533" s="9">
        <f t="shared" ca="1" si="33"/>
        <v>15784.242372640241</v>
      </c>
      <c r="E533" s="10">
        <f t="shared" ca="1" si="34"/>
        <v>0.29949755441908843</v>
      </c>
      <c r="G533" s="8">
        <v>43993</v>
      </c>
      <c r="H533" s="10">
        <f t="shared" ca="1" si="35"/>
        <v>3.156805297846977E-2</v>
      </c>
    </row>
    <row r="534" spans="2:8" hidden="1" x14ac:dyDescent="0.2">
      <c r="B534" s="8">
        <v>43994</v>
      </c>
      <c r="C534" s="9">
        <f t="shared" ca="1" si="32"/>
        <v>11933.884885736448</v>
      </c>
      <c r="D534" s="9">
        <f t="shared" ca="1" si="33"/>
        <v>13560.534418198866</v>
      </c>
      <c r="E534" s="10">
        <f t="shared" ca="1" si="34"/>
        <v>0.20102328060889874</v>
      </c>
      <c r="G534" s="8">
        <v>43994</v>
      </c>
      <c r="H534" s="10">
        <f t="shared" ca="1" si="35"/>
        <v>4.5839734146284842E-3</v>
      </c>
    </row>
    <row r="535" spans="2:8" hidden="1" x14ac:dyDescent="0.2">
      <c r="B535" s="8">
        <v>43995</v>
      </c>
      <c r="C535" s="9">
        <f t="shared" ca="1" si="32"/>
        <v>15322.543955114092</v>
      </c>
      <c r="D535" s="9">
        <f t="shared" ca="1" si="33"/>
        <v>16353.043729647236</v>
      </c>
      <c r="E535" s="10">
        <f t="shared" ca="1" si="34"/>
        <v>4.2383493690612971E-2</v>
      </c>
      <c r="G535" s="8">
        <v>43995</v>
      </c>
      <c r="H535" s="10">
        <f t="shared" ca="1" si="35"/>
        <v>6.8006471503444077E-2</v>
      </c>
    </row>
    <row r="536" spans="2:8" hidden="1" x14ac:dyDescent="0.2">
      <c r="B536" s="8">
        <v>43996</v>
      </c>
      <c r="C536" s="9">
        <f t="shared" ca="1" si="32"/>
        <v>12725.912807276578</v>
      </c>
      <c r="D536" s="9">
        <f t="shared" ca="1" si="33"/>
        <v>10193.526241898116</v>
      </c>
      <c r="E536" s="10">
        <f t="shared" ca="1" si="34"/>
        <v>6.1551022300558754E-3</v>
      </c>
      <c r="G536" s="8">
        <v>43996</v>
      </c>
      <c r="H536" s="10">
        <f t="shared" ca="1" si="35"/>
        <v>5.2508259991346798E-2</v>
      </c>
    </row>
    <row r="537" spans="2:8" hidden="1" x14ac:dyDescent="0.2">
      <c r="B537" s="8">
        <v>43997</v>
      </c>
      <c r="C537" s="9">
        <f t="shared" ca="1" si="32"/>
        <v>11140.745809733839</v>
      </c>
      <c r="D537" s="9">
        <f t="shared" ca="1" si="33"/>
        <v>12497.458886579363</v>
      </c>
      <c r="E537" s="10">
        <f t="shared" ca="1" si="34"/>
        <v>9.7324466494773068E-2</v>
      </c>
      <c r="G537" s="8">
        <v>43997</v>
      </c>
      <c r="H537" s="10">
        <f t="shared" ca="1" si="35"/>
        <v>2.2329278824845717E-2</v>
      </c>
    </row>
    <row r="538" spans="2:8" hidden="1" x14ac:dyDescent="0.2">
      <c r="B538" s="8">
        <v>43998</v>
      </c>
      <c r="C538" s="9">
        <f t="shared" ca="1" si="32"/>
        <v>16750.626420020828</v>
      </c>
      <c r="D538" s="9">
        <f t="shared" ca="1" si="33"/>
        <v>15866.25694723766</v>
      </c>
      <c r="E538" s="10">
        <f t="shared" ca="1" si="34"/>
        <v>0.17286505684313097</v>
      </c>
      <c r="G538" s="8">
        <v>43998</v>
      </c>
      <c r="H538" s="10">
        <f t="shared" ca="1" si="35"/>
        <v>6.0647107249144523E-3</v>
      </c>
    </row>
    <row r="539" spans="2:8" hidden="1" x14ac:dyDescent="0.2">
      <c r="B539" s="8">
        <v>43999</v>
      </c>
      <c r="C539" s="9">
        <f t="shared" ca="1" si="32"/>
        <v>13503.883194565793</v>
      </c>
      <c r="D539" s="9">
        <f t="shared" ca="1" si="33"/>
        <v>11814.037691694948</v>
      </c>
      <c r="E539" s="10">
        <f t="shared" ca="1" si="34"/>
        <v>0.2061395033614826</v>
      </c>
      <c r="G539" s="8">
        <v>43999</v>
      </c>
      <c r="H539" s="10">
        <f t="shared" ca="1" si="35"/>
        <v>5.8702968281781178E-3</v>
      </c>
    </row>
    <row r="540" spans="2:8" hidden="1" x14ac:dyDescent="0.2">
      <c r="B540" s="8">
        <v>44000</v>
      </c>
      <c r="C540" s="9">
        <f t="shared" ca="1" si="32"/>
        <v>13933.031550260519</v>
      </c>
      <c r="D540" s="9">
        <f t="shared" ca="1" si="33"/>
        <v>11768.735902140497</v>
      </c>
      <c r="E540" s="10">
        <f t="shared" ca="1" si="34"/>
        <v>0.29854134561495599</v>
      </c>
      <c r="G540" s="8">
        <v>44000</v>
      </c>
      <c r="H540" s="10">
        <f t="shared" ca="1" si="35"/>
        <v>5.6006835124327255E-2</v>
      </c>
    </row>
    <row r="541" spans="2:8" hidden="1" x14ac:dyDescent="0.2">
      <c r="B541" s="8">
        <v>44001</v>
      </c>
      <c r="C541" s="9">
        <f t="shared" ca="1" si="32"/>
        <v>11240.112564193703</v>
      </c>
      <c r="D541" s="9">
        <f t="shared" ca="1" si="33"/>
        <v>11689.579496973725</v>
      </c>
      <c r="E541" s="10">
        <f t="shared" ca="1" si="34"/>
        <v>0.26441623562971162</v>
      </c>
      <c r="G541" s="8">
        <v>44001</v>
      </c>
      <c r="H541" s="10">
        <f t="shared" ca="1" si="35"/>
        <v>5.4114810621173702E-2</v>
      </c>
    </row>
    <row r="542" spans="2:8" hidden="1" x14ac:dyDescent="0.2">
      <c r="B542" s="8">
        <v>44002</v>
      </c>
      <c r="C542" s="9">
        <f t="shared" ca="1" si="32"/>
        <v>14498.694095812254</v>
      </c>
      <c r="D542" s="9">
        <f t="shared" ca="1" si="33"/>
        <v>17981.593454056296</v>
      </c>
      <c r="E542" s="10">
        <f t="shared" ca="1" si="34"/>
        <v>8.5556571832147876E-2</v>
      </c>
      <c r="G542" s="8">
        <v>44002</v>
      </c>
      <c r="H542" s="10">
        <f t="shared" ca="1" si="35"/>
        <v>2.1538686887636417E-2</v>
      </c>
    </row>
    <row r="543" spans="2:8" hidden="1" x14ac:dyDescent="0.2">
      <c r="B543" s="8">
        <v>44003</v>
      </c>
      <c r="C543" s="9">
        <f t="shared" ca="1" si="32"/>
        <v>13402.587061556489</v>
      </c>
      <c r="D543" s="9">
        <f t="shared" ca="1" si="33"/>
        <v>17075.765066790882</v>
      </c>
      <c r="E543" s="10">
        <f t="shared" ca="1" si="34"/>
        <v>0.12693677279439666</v>
      </c>
      <c r="G543" s="8">
        <v>44003</v>
      </c>
      <c r="H543" s="10">
        <f t="shared" ca="1" si="35"/>
        <v>3.4636573332663706E-2</v>
      </c>
    </row>
    <row r="544" spans="2:8" hidden="1" x14ac:dyDescent="0.2">
      <c r="B544" s="8">
        <v>44004</v>
      </c>
      <c r="C544" s="9">
        <f t="shared" ca="1" si="32"/>
        <v>10670.337300037283</v>
      </c>
      <c r="D544" s="9">
        <f t="shared" ca="1" si="33"/>
        <v>10895.153905924655</v>
      </c>
      <c r="E544" s="10">
        <f t="shared" ca="1" si="34"/>
        <v>4.1077953639344245E-2</v>
      </c>
      <c r="G544" s="8">
        <v>44004</v>
      </c>
      <c r="H544" s="10">
        <f t="shared" ca="1" si="35"/>
        <v>2.8369281080111008E-2</v>
      </c>
    </row>
    <row r="545" spans="2:8" hidden="1" x14ac:dyDescent="0.2">
      <c r="B545" s="8">
        <v>44005</v>
      </c>
      <c r="C545" s="9">
        <f t="shared" ca="1" si="32"/>
        <v>14095.69855738594</v>
      </c>
      <c r="D545" s="9">
        <f t="shared" ca="1" si="33"/>
        <v>16236.978083281378</v>
      </c>
      <c r="E545" s="10">
        <f t="shared" ca="1" si="34"/>
        <v>0.17443635482529529</v>
      </c>
      <c r="G545" s="8">
        <v>44005</v>
      </c>
      <c r="H545" s="10">
        <f t="shared" ca="1" si="35"/>
        <v>1.2218317179601E-2</v>
      </c>
    </row>
    <row r="546" spans="2:8" hidden="1" x14ac:dyDescent="0.2">
      <c r="B546" s="8">
        <v>44006</v>
      </c>
      <c r="C546" s="9">
        <f t="shared" ca="1" si="32"/>
        <v>14783.886541777856</v>
      </c>
      <c r="D546" s="9">
        <f t="shared" ca="1" si="33"/>
        <v>11515.944384884879</v>
      </c>
      <c r="E546" s="10">
        <f t="shared" ca="1" si="34"/>
        <v>0.1760149247366268</v>
      </c>
      <c r="G546" s="8">
        <v>44006</v>
      </c>
      <c r="H546" s="10">
        <f t="shared" ca="1" si="35"/>
        <v>6.0183735600494684E-2</v>
      </c>
    </row>
    <row r="547" spans="2:8" hidden="1" x14ac:dyDescent="0.2">
      <c r="B547" s="8">
        <v>44007</v>
      </c>
      <c r="C547" s="9">
        <f t="shared" ca="1" si="32"/>
        <v>12383.789806579507</v>
      </c>
      <c r="D547" s="9">
        <f t="shared" ca="1" si="33"/>
        <v>14590.768329514554</v>
      </c>
      <c r="E547" s="10">
        <f t="shared" ca="1" si="34"/>
        <v>0.17724129728304552</v>
      </c>
      <c r="G547" s="8">
        <v>44007</v>
      </c>
      <c r="H547" s="10">
        <f t="shared" ca="1" si="35"/>
        <v>6.1228369102439263E-2</v>
      </c>
    </row>
    <row r="548" spans="2:8" hidden="1" x14ac:dyDescent="0.2">
      <c r="B548" s="8">
        <v>44008</v>
      </c>
      <c r="C548" s="9">
        <f t="shared" ca="1" si="32"/>
        <v>16089.111728292368</v>
      </c>
      <c r="D548" s="9">
        <f t="shared" ca="1" si="33"/>
        <v>10586.655774055584</v>
      </c>
      <c r="E548" s="10">
        <f t="shared" ca="1" si="34"/>
        <v>0.13635099356975552</v>
      </c>
      <c r="G548" s="8">
        <v>44008</v>
      </c>
      <c r="H548" s="10">
        <f t="shared" ca="1" si="35"/>
        <v>5.1344557294399795E-2</v>
      </c>
    </row>
    <row r="549" spans="2:8" hidden="1" x14ac:dyDescent="0.2">
      <c r="B549" s="8">
        <v>44009</v>
      </c>
      <c r="C549" s="9">
        <f t="shared" ca="1" si="32"/>
        <v>12918.424703728866</v>
      </c>
      <c r="D549" s="9">
        <f t="shared" ca="1" si="33"/>
        <v>13109.213826170704</v>
      </c>
      <c r="E549" s="10">
        <f t="shared" ca="1" si="34"/>
        <v>0.2761324000881214</v>
      </c>
      <c r="G549" s="8">
        <v>44009</v>
      </c>
      <c r="H549" s="10">
        <f t="shared" ca="1" si="35"/>
        <v>7.1460397239690825E-3</v>
      </c>
    </row>
    <row r="550" spans="2:8" hidden="1" x14ac:dyDescent="0.2">
      <c r="B550" s="8">
        <v>44010</v>
      </c>
      <c r="C550" s="9">
        <f t="shared" ca="1" si="32"/>
        <v>10205.048901708955</v>
      </c>
      <c r="D550" s="9">
        <f t="shared" ca="1" si="33"/>
        <v>15514.782766628025</v>
      </c>
      <c r="E550" s="10">
        <f t="shared" ca="1" si="34"/>
        <v>0.10129172476262675</v>
      </c>
      <c r="G550" s="8">
        <v>44010</v>
      </c>
      <c r="H550" s="10">
        <f t="shared" ca="1" si="35"/>
        <v>4.7131728357931148E-2</v>
      </c>
    </row>
    <row r="551" spans="2:8" hidden="1" x14ac:dyDescent="0.2">
      <c r="B551" s="8">
        <v>44011</v>
      </c>
      <c r="C551" s="9">
        <f t="shared" ca="1" si="32"/>
        <v>11309.565259859508</v>
      </c>
      <c r="D551" s="9">
        <f t="shared" ca="1" si="33"/>
        <v>10456.660922542756</v>
      </c>
      <c r="E551" s="10">
        <f t="shared" ca="1" si="34"/>
        <v>0.15675643390501515</v>
      </c>
      <c r="G551" s="8">
        <v>44011</v>
      </c>
      <c r="H551" s="10">
        <f t="shared" ca="1" si="35"/>
        <v>6.4198233830599569E-2</v>
      </c>
    </row>
    <row r="552" spans="2:8" hidden="1" x14ac:dyDescent="0.2">
      <c r="B552" s="8">
        <v>44012</v>
      </c>
      <c r="C552" s="9">
        <f t="shared" ca="1" si="32"/>
        <v>10463.55231765415</v>
      </c>
      <c r="D552" s="9">
        <f t="shared" ca="1" si="33"/>
        <v>16522.783659769055</v>
      </c>
      <c r="E552" s="10">
        <f t="shared" ca="1" si="34"/>
        <v>9.480331208279387E-2</v>
      </c>
      <c r="G552" s="8">
        <v>44012</v>
      </c>
      <c r="H552" s="10">
        <f t="shared" ca="1" si="35"/>
        <v>5.8593984834120587E-2</v>
      </c>
    </row>
    <row r="553" spans="2:8" hidden="1" x14ac:dyDescent="0.2">
      <c r="B553" s="8">
        <v>44013</v>
      </c>
      <c r="C553" s="9">
        <f t="shared" ca="1" si="32"/>
        <v>10373.644174384161</v>
      </c>
      <c r="D553" s="9">
        <f t="shared" ca="1" si="33"/>
        <v>17975.315554616398</v>
      </c>
      <c r="E553" s="10">
        <f t="shared" ca="1" si="34"/>
        <v>5.5398783951745502E-2</v>
      </c>
      <c r="G553" s="8">
        <v>44013</v>
      </c>
      <c r="H553" s="10">
        <f t="shared" ca="1" si="35"/>
        <v>4.3484238563321197E-2</v>
      </c>
    </row>
    <row r="554" spans="2:8" hidden="1" x14ac:dyDescent="0.2">
      <c r="B554" s="8">
        <v>44014</v>
      </c>
      <c r="C554" s="9">
        <f t="shared" ca="1" si="32"/>
        <v>16012.283689925644</v>
      </c>
      <c r="D554" s="9">
        <f t="shared" ca="1" si="33"/>
        <v>12222.807474276329</v>
      </c>
      <c r="E554" s="10">
        <f t="shared" ca="1" si="34"/>
        <v>4.7867045059900311E-2</v>
      </c>
      <c r="G554" s="8">
        <v>44014</v>
      </c>
      <c r="H554" s="10">
        <f t="shared" ca="1" si="35"/>
        <v>2.9059151899805923E-2</v>
      </c>
    </row>
    <row r="555" spans="2:8" hidden="1" x14ac:dyDescent="0.2">
      <c r="B555" s="8">
        <v>44015</v>
      </c>
      <c r="C555" s="9">
        <f t="shared" ca="1" si="32"/>
        <v>14365.500550690396</v>
      </c>
      <c r="D555" s="9">
        <f t="shared" ca="1" si="33"/>
        <v>17912.067132122207</v>
      </c>
      <c r="E555" s="10">
        <f t="shared" ca="1" si="34"/>
        <v>0.17655265716790147</v>
      </c>
      <c r="G555" s="8">
        <v>44015</v>
      </c>
      <c r="H555" s="10">
        <f t="shared" ca="1" si="35"/>
        <v>4.5496303837300467E-3</v>
      </c>
    </row>
    <row r="556" spans="2:8" hidden="1" x14ac:dyDescent="0.2">
      <c r="B556" s="8">
        <v>44016</v>
      </c>
      <c r="C556" s="9">
        <f t="shared" ca="1" si="32"/>
        <v>10276.619658441608</v>
      </c>
      <c r="D556" s="9">
        <f t="shared" ca="1" si="33"/>
        <v>10979.944799428</v>
      </c>
      <c r="E556" s="10">
        <f t="shared" ca="1" si="34"/>
        <v>0.26500552777095393</v>
      </c>
      <c r="G556" s="8">
        <v>44016</v>
      </c>
      <c r="H556" s="10">
        <f t="shared" ca="1" si="35"/>
        <v>3.6821138774051063E-2</v>
      </c>
    </row>
    <row r="557" spans="2:8" hidden="1" x14ac:dyDescent="0.2">
      <c r="B557" s="8">
        <v>44017</v>
      </c>
      <c r="C557" s="9">
        <f t="shared" ca="1" si="32"/>
        <v>14290.98755669835</v>
      </c>
      <c r="D557" s="9">
        <f t="shared" ca="1" si="33"/>
        <v>11142.233376594391</v>
      </c>
      <c r="E557" s="10">
        <f t="shared" ca="1" si="34"/>
        <v>0.20657297555912829</v>
      </c>
      <c r="G557" s="8">
        <v>44017</v>
      </c>
      <c r="H557" s="10">
        <f t="shared" ca="1" si="35"/>
        <v>4.8926985680189647E-2</v>
      </c>
    </row>
    <row r="558" spans="2:8" hidden="1" x14ac:dyDescent="0.2">
      <c r="B558" s="8">
        <v>44018</v>
      </c>
      <c r="C558" s="9">
        <f t="shared" ca="1" si="32"/>
        <v>11819.214170403033</v>
      </c>
      <c r="D558" s="9">
        <f t="shared" ca="1" si="33"/>
        <v>17061.597329527409</v>
      </c>
      <c r="E558" s="10">
        <f t="shared" ca="1" si="34"/>
        <v>0.10614257374592757</v>
      </c>
      <c r="G558" s="8">
        <v>44018</v>
      </c>
      <c r="H558" s="10">
        <f t="shared" ca="1" si="35"/>
        <v>3.9160694728052101E-2</v>
      </c>
    </row>
    <row r="559" spans="2:8" hidden="1" x14ac:dyDescent="0.2">
      <c r="B559" s="8">
        <v>44019</v>
      </c>
      <c r="C559" s="9">
        <f t="shared" ca="1" si="32"/>
        <v>11105.420285157637</v>
      </c>
      <c r="D559" s="9">
        <f t="shared" ca="1" si="33"/>
        <v>15597.04310770058</v>
      </c>
      <c r="E559" s="10">
        <f t="shared" ca="1" si="34"/>
        <v>0.18522336818496105</v>
      </c>
      <c r="G559" s="8">
        <v>44019</v>
      </c>
      <c r="H559" s="10">
        <f t="shared" ca="1" si="35"/>
        <v>6.5255108022449299E-2</v>
      </c>
    </row>
    <row r="560" spans="2:8" hidden="1" x14ac:dyDescent="0.2">
      <c r="B560" s="8">
        <v>44020</v>
      </c>
      <c r="C560" s="9">
        <f t="shared" ca="1" si="32"/>
        <v>13681.239661637834</v>
      </c>
      <c r="D560" s="9">
        <f t="shared" ca="1" si="33"/>
        <v>13644.775846033814</v>
      </c>
      <c r="E560" s="10">
        <f t="shared" ca="1" si="34"/>
        <v>0.27164439094435983</v>
      </c>
      <c r="G560" s="8">
        <v>44020</v>
      </c>
      <c r="H560" s="10">
        <f t="shared" ca="1" si="35"/>
        <v>3.7821929824553631E-2</v>
      </c>
    </row>
    <row r="561" spans="2:8" hidden="1" x14ac:dyDescent="0.2">
      <c r="B561" s="8">
        <v>44021</v>
      </c>
      <c r="C561" s="9">
        <f t="shared" ca="1" si="32"/>
        <v>11405.710845608204</v>
      </c>
      <c r="D561" s="9">
        <f t="shared" ca="1" si="33"/>
        <v>11959.520718094784</v>
      </c>
      <c r="E561" s="10">
        <f t="shared" ca="1" si="34"/>
        <v>0.21747598377488342</v>
      </c>
      <c r="G561" s="8">
        <v>44021</v>
      </c>
      <c r="H561" s="10">
        <f t="shared" ca="1" si="35"/>
        <v>3.0839954672439426E-2</v>
      </c>
    </row>
    <row r="562" spans="2:8" hidden="1" x14ac:dyDescent="0.2">
      <c r="B562" s="8">
        <v>44022</v>
      </c>
      <c r="C562" s="9">
        <f t="shared" ca="1" si="32"/>
        <v>16999.228034772943</v>
      </c>
      <c r="D562" s="9">
        <f t="shared" ca="1" si="33"/>
        <v>13316.712572934226</v>
      </c>
      <c r="E562" s="10">
        <f t="shared" ca="1" si="34"/>
        <v>0.17422658989855899</v>
      </c>
      <c r="G562" s="8">
        <v>44022</v>
      </c>
      <c r="H562" s="10">
        <f t="shared" ca="1" si="35"/>
        <v>4.9807443081368308E-2</v>
      </c>
    </row>
    <row r="563" spans="2:8" hidden="1" x14ac:dyDescent="0.2">
      <c r="B563" s="8">
        <v>44023</v>
      </c>
      <c r="C563" s="9">
        <f t="shared" ca="1" si="32"/>
        <v>16133.306104651572</v>
      </c>
      <c r="D563" s="9">
        <f t="shared" ca="1" si="33"/>
        <v>13262.677633749918</v>
      </c>
      <c r="E563" s="10">
        <f t="shared" ca="1" si="34"/>
        <v>0.22131676491922928</v>
      </c>
      <c r="G563" s="8">
        <v>44023</v>
      </c>
      <c r="H563" s="10">
        <f t="shared" ca="1" si="35"/>
        <v>5.9437606035940956E-2</v>
      </c>
    </row>
    <row r="564" spans="2:8" hidden="1" x14ac:dyDescent="0.2">
      <c r="B564" s="8">
        <v>44024</v>
      </c>
      <c r="C564" s="9">
        <f t="shared" ca="1" si="32"/>
        <v>15037.982335780232</v>
      </c>
      <c r="D564" s="9">
        <f t="shared" ca="1" si="33"/>
        <v>10432.208516170995</v>
      </c>
      <c r="E564" s="10">
        <f t="shared" ca="1" si="34"/>
        <v>0.22303265682201284</v>
      </c>
      <c r="G564" s="8">
        <v>44024</v>
      </c>
      <c r="H564" s="10">
        <f t="shared" ca="1" si="35"/>
        <v>2.6687502086431045E-2</v>
      </c>
    </row>
    <row r="565" spans="2:8" hidden="1" x14ac:dyDescent="0.2">
      <c r="B565" s="8">
        <v>44025</v>
      </c>
      <c r="C565" s="9">
        <f t="shared" ca="1" si="32"/>
        <v>17879.054313558976</v>
      </c>
      <c r="D565" s="9">
        <f t="shared" ca="1" si="33"/>
        <v>12514.875422924268</v>
      </c>
      <c r="E565" s="10">
        <f t="shared" ca="1" si="34"/>
        <v>0.1206621665057455</v>
      </c>
      <c r="G565" s="8">
        <v>44025</v>
      </c>
      <c r="H565" s="10">
        <f t="shared" ca="1" si="35"/>
        <v>5.7876339224763693E-2</v>
      </c>
    </row>
    <row r="566" spans="2:8" hidden="1" x14ac:dyDescent="0.2">
      <c r="B566" s="8">
        <v>44026</v>
      </c>
      <c r="C566" s="9">
        <f t="shared" ca="1" si="32"/>
        <v>10098.194878746168</v>
      </c>
      <c r="D566" s="9">
        <f t="shared" ca="1" si="33"/>
        <v>15036.187425536864</v>
      </c>
      <c r="E566" s="10">
        <f t="shared" ca="1" si="34"/>
        <v>7.6163031907269377E-2</v>
      </c>
      <c r="G566" s="8">
        <v>44026</v>
      </c>
      <c r="H566" s="10">
        <f t="shared" ca="1" si="35"/>
        <v>5.7996562010083325E-2</v>
      </c>
    </row>
    <row r="567" spans="2:8" hidden="1" x14ac:dyDescent="0.2">
      <c r="B567" s="8">
        <v>44027</v>
      </c>
      <c r="C567" s="9">
        <f t="shared" ca="1" si="32"/>
        <v>17736.278239213585</v>
      </c>
      <c r="D567" s="9">
        <f t="shared" ca="1" si="33"/>
        <v>10743.761075018954</v>
      </c>
      <c r="E567" s="10">
        <f t="shared" ca="1" si="34"/>
        <v>0.22616442987719804</v>
      </c>
      <c r="G567" s="8">
        <v>44027</v>
      </c>
      <c r="H567" s="10">
        <f t="shared" ca="1" si="35"/>
        <v>7.7313841645138808E-3</v>
      </c>
    </row>
    <row r="568" spans="2:8" hidden="1" x14ac:dyDescent="0.2">
      <c r="B568" s="8">
        <v>44028</v>
      </c>
      <c r="C568" s="9">
        <f t="shared" ca="1" si="32"/>
        <v>13677.869933846589</v>
      </c>
      <c r="D568" s="9">
        <f t="shared" ca="1" si="33"/>
        <v>14022.927015288053</v>
      </c>
      <c r="E568" s="10">
        <f t="shared" ca="1" si="34"/>
        <v>0.20870100020391422</v>
      </c>
      <c r="G568" s="8">
        <v>44028</v>
      </c>
      <c r="H568" s="10">
        <f t="shared" ca="1" si="35"/>
        <v>1.7623568853518672E-2</v>
      </c>
    </row>
    <row r="569" spans="2:8" hidden="1" x14ac:dyDescent="0.2">
      <c r="B569" s="8">
        <v>44029</v>
      </c>
      <c r="C569" s="9">
        <f t="shared" ca="1" si="32"/>
        <v>16240.029776721021</v>
      </c>
      <c r="D569" s="9">
        <f t="shared" ca="1" si="33"/>
        <v>10105.396222370751</v>
      </c>
      <c r="E569" s="10">
        <f t="shared" ca="1" si="34"/>
        <v>6.2890701008283326E-2</v>
      </c>
      <c r="G569" s="8">
        <v>44029</v>
      </c>
      <c r="H569" s="10">
        <f t="shared" ca="1" si="35"/>
        <v>5.3816751254465459E-2</v>
      </c>
    </row>
    <row r="570" spans="2:8" hidden="1" x14ac:dyDescent="0.2">
      <c r="B570" s="8">
        <v>44030</v>
      </c>
      <c r="C570" s="9">
        <f t="shared" ca="1" si="32"/>
        <v>11256.321125449094</v>
      </c>
      <c r="D570" s="9">
        <f t="shared" ca="1" si="33"/>
        <v>12622.033686917188</v>
      </c>
      <c r="E570" s="10">
        <f t="shared" ca="1" si="34"/>
        <v>1.0995921667817021E-2</v>
      </c>
      <c r="G570" s="8">
        <v>44030</v>
      </c>
      <c r="H570" s="10">
        <f t="shared" ca="1" si="35"/>
        <v>5.234309166465051E-2</v>
      </c>
    </row>
    <row r="571" spans="2:8" hidden="1" x14ac:dyDescent="0.2">
      <c r="B571" s="8">
        <v>44031</v>
      </c>
      <c r="C571" s="9">
        <f t="shared" ca="1" si="32"/>
        <v>11963.244654379696</v>
      </c>
      <c r="D571" s="9">
        <f t="shared" ca="1" si="33"/>
        <v>15028.243226756933</v>
      </c>
      <c r="E571" s="10">
        <f t="shared" ca="1" si="34"/>
        <v>0.17398231634168906</v>
      </c>
      <c r="G571" s="8">
        <v>44031</v>
      </c>
      <c r="H571" s="10">
        <f t="shared" ca="1" si="35"/>
        <v>3.4934148207345944E-2</v>
      </c>
    </row>
    <row r="572" spans="2:8" hidden="1" x14ac:dyDescent="0.2">
      <c r="B572" s="8">
        <v>44032</v>
      </c>
      <c r="C572" s="9">
        <f t="shared" ca="1" si="32"/>
        <v>11648.560909331507</v>
      </c>
      <c r="D572" s="9">
        <f t="shared" ca="1" si="33"/>
        <v>11853.187630978367</v>
      </c>
      <c r="E572" s="10">
        <f t="shared" ca="1" si="34"/>
        <v>0.15047580273900227</v>
      </c>
      <c r="G572" s="8">
        <v>44032</v>
      </c>
      <c r="H572" s="10">
        <f t="shared" ca="1" si="35"/>
        <v>3.1570300346738286E-2</v>
      </c>
    </row>
    <row r="573" spans="2:8" hidden="1" x14ac:dyDescent="0.2">
      <c r="B573" s="8">
        <v>44033</v>
      </c>
      <c r="C573" s="9">
        <f t="shared" ca="1" si="32"/>
        <v>13513.457521866443</v>
      </c>
      <c r="D573" s="9">
        <f t="shared" ca="1" si="33"/>
        <v>16704.663676752221</v>
      </c>
      <c r="E573" s="10">
        <f t="shared" ca="1" si="34"/>
        <v>3.1139495484590683E-2</v>
      </c>
      <c r="G573" s="8">
        <v>44033</v>
      </c>
      <c r="H573" s="10">
        <f t="shared" ca="1" si="35"/>
        <v>1.4194892206567887E-2</v>
      </c>
    </row>
    <row r="574" spans="2:8" hidden="1" x14ac:dyDescent="0.2">
      <c r="B574" s="8">
        <v>44034</v>
      </c>
      <c r="C574" s="9">
        <f t="shared" ca="1" si="32"/>
        <v>15153.919051169509</v>
      </c>
      <c r="D574" s="9">
        <f t="shared" ca="1" si="33"/>
        <v>11551.819414883988</v>
      </c>
      <c r="E574" s="10">
        <f t="shared" ca="1" si="34"/>
        <v>0.16525703506860645</v>
      </c>
      <c r="G574" s="8">
        <v>44034</v>
      </c>
      <c r="H574" s="10">
        <f t="shared" ca="1" si="35"/>
        <v>4.5492338180952621E-2</v>
      </c>
    </row>
    <row r="575" spans="2:8" hidden="1" x14ac:dyDescent="0.2">
      <c r="B575" s="8">
        <v>44035</v>
      </c>
      <c r="C575" s="9">
        <f t="shared" ca="1" si="32"/>
        <v>14767.312377917973</v>
      </c>
      <c r="D575" s="9">
        <f t="shared" ca="1" si="33"/>
        <v>12775.44944588736</v>
      </c>
      <c r="E575" s="10">
        <f t="shared" ca="1" si="34"/>
        <v>0.26309030969739183</v>
      </c>
      <c r="G575" s="8">
        <v>44035</v>
      </c>
      <c r="H575" s="10">
        <f t="shared" ca="1" si="35"/>
        <v>4.8189907411762115E-2</v>
      </c>
    </row>
    <row r="576" spans="2:8" hidden="1" x14ac:dyDescent="0.2">
      <c r="B576" s="8">
        <v>44036</v>
      </c>
      <c r="C576" s="9">
        <f t="shared" ca="1" si="32"/>
        <v>13376.84405336129</v>
      </c>
      <c r="D576" s="9">
        <f t="shared" ca="1" si="33"/>
        <v>12815.873680353865</v>
      </c>
      <c r="E576" s="10">
        <f t="shared" ca="1" si="34"/>
        <v>0.16048212345809637</v>
      </c>
      <c r="G576" s="8">
        <v>44036</v>
      </c>
      <c r="H576" s="10">
        <f t="shared" ca="1" si="35"/>
        <v>4.2670765239253027E-2</v>
      </c>
    </row>
    <row r="577" spans="2:8" hidden="1" x14ac:dyDescent="0.2">
      <c r="B577" s="8">
        <v>44037</v>
      </c>
      <c r="C577" s="9">
        <f t="shared" ca="1" si="32"/>
        <v>12910.80822005823</v>
      </c>
      <c r="D577" s="9">
        <f t="shared" ca="1" si="33"/>
        <v>10804.528968171973</v>
      </c>
      <c r="E577" s="10">
        <f t="shared" ca="1" si="34"/>
        <v>0.16641625412187735</v>
      </c>
      <c r="G577" s="8">
        <v>44037</v>
      </c>
      <c r="H577" s="10">
        <f t="shared" ca="1" si="35"/>
        <v>1.8549871169263321E-2</v>
      </c>
    </row>
    <row r="578" spans="2:8" hidden="1" x14ac:dyDescent="0.2">
      <c r="B578" s="8">
        <v>44038</v>
      </c>
      <c r="C578" s="9">
        <f t="shared" ca="1" si="32"/>
        <v>10121.81678717089</v>
      </c>
      <c r="D578" s="9">
        <f t="shared" ca="1" si="33"/>
        <v>14048.945959967794</v>
      </c>
      <c r="E578" s="10">
        <f t="shared" ca="1" si="34"/>
        <v>0.21225545805867232</v>
      </c>
      <c r="G578" s="8">
        <v>44038</v>
      </c>
      <c r="H578" s="10">
        <f t="shared" ca="1" si="35"/>
        <v>5.9030370520674828E-2</v>
      </c>
    </row>
    <row r="579" spans="2:8" hidden="1" x14ac:dyDescent="0.2">
      <c r="B579" s="8">
        <v>44039</v>
      </c>
      <c r="C579" s="9">
        <f t="shared" ca="1" si="32"/>
        <v>12303.840661184269</v>
      </c>
      <c r="D579" s="9">
        <f t="shared" ca="1" si="33"/>
        <v>16698.992147502249</v>
      </c>
      <c r="E579" s="10">
        <f t="shared" ca="1" si="34"/>
        <v>0.17663441596694721</v>
      </c>
      <c r="G579" s="8">
        <v>44039</v>
      </c>
      <c r="H579" s="10">
        <f t="shared" ca="1" si="35"/>
        <v>5.9490151545762517E-2</v>
      </c>
    </row>
    <row r="580" spans="2:8" hidden="1" x14ac:dyDescent="0.2">
      <c r="B580" s="8">
        <v>44040</v>
      </c>
      <c r="C580" s="9">
        <f t="shared" ca="1" si="32"/>
        <v>11720.288180562742</v>
      </c>
      <c r="D580" s="9">
        <f t="shared" ca="1" si="33"/>
        <v>15775.183136191508</v>
      </c>
      <c r="E580" s="10">
        <f t="shared" ca="1" si="34"/>
        <v>4.739143489323687E-2</v>
      </c>
      <c r="G580" s="8">
        <v>44040</v>
      </c>
      <c r="H580" s="10">
        <f t="shared" ca="1" si="35"/>
        <v>2.7149469526752418E-2</v>
      </c>
    </row>
    <row r="581" spans="2:8" hidden="1" x14ac:dyDescent="0.2">
      <c r="B581" s="8">
        <v>44041</v>
      </c>
      <c r="C581" s="9">
        <f t="shared" ca="1" si="32"/>
        <v>16568.387467221022</v>
      </c>
      <c r="D581" s="9">
        <f t="shared" ca="1" si="33"/>
        <v>12581.931766132531</v>
      </c>
      <c r="E581" s="10">
        <f t="shared" ca="1" si="34"/>
        <v>1.6195975571617938E-2</v>
      </c>
      <c r="G581" s="8">
        <v>44041</v>
      </c>
      <c r="H581" s="10">
        <f t="shared" ca="1" si="35"/>
        <v>9.1467951162506403E-3</v>
      </c>
    </row>
    <row r="582" spans="2:8" hidden="1" x14ac:dyDescent="0.2">
      <c r="B582" s="8">
        <v>44042</v>
      </c>
      <c r="C582" s="9">
        <f t="shared" ca="1" si="32"/>
        <v>17955.789150757599</v>
      </c>
      <c r="D582" s="9">
        <f t="shared" ca="1" si="33"/>
        <v>14677.283766467464</v>
      </c>
      <c r="E582" s="10">
        <f t="shared" ca="1" si="34"/>
        <v>3.537613737704691E-2</v>
      </c>
      <c r="G582" s="8">
        <v>44042</v>
      </c>
      <c r="H582" s="10">
        <f t="shared" ca="1" si="35"/>
        <v>4.5320421557888034E-2</v>
      </c>
    </row>
    <row r="583" spans="2:8" hidden="1" x14ac:dyDescent="0.2">
      <c r="B583" s="8">
        <v>44043</v>
      </c>
      <c r="C583" s="9">
        <f t="shared" ref="C583:C646" ca="1" si="36">RAND()*(18000-10000)+10000</f>
        <v>11544.847646208467</v>
      </c>
      <c r="D583" s="9">
        <f t="shared" ref="D583:D646" ca="1" si="37">RAND()*(18000-10000)+10000</f>
        <v>15500.019934008149</v>
      </c>
      <c r="E583" s="10">
        <f t="shared" ref="E583:E646" ca="1" si="38">RAND()*(30%-0%)+0%</f>
        <v>0.16664870642126964</v>
      </c>
      <c r="G583" s="8">
        <v>44043</v>
      </c>
      <c r="H583" s="10">
        <f t="shared" ref="H583:H646" ca="1" si="39">RAND()*(7%-0%)+0%</f>
        <v>2.7964352692723873E-2</v>
      </c>
    </row>
    <row r="584" spans="2:8" hidden="1" x14ac:dyDescent="0.2">
      <c r="B584" s="8">
        <v>44044</v>
      </c>
      <c r="C584" s="9">
        <f t="shared" ca="1" si="36"/>
        <v>14169.564019632926</v>
      </c>
      <c r="D584" s="9">
        <f t="shared" ca="1" si="37"/>
        <v>15863.855605244527</v>
      </c>
      <c r="E584" s="10">
        <f t="shared" ca="1" si="38"/>
        <v>0.28271054594549988</v>
      </c>
      <c r="G584" s="8">
        <v>44044</v>
      </c>
      <c r="H584" s="10">
        <f t="shared" ca="1" si="39"/>
        <v>6.4566784757211046E-2</v>
      </c>
    </row>
    <row r="585" spans="2:8" hidden="1" x14ac:dyDescent="0.2">
      <c r="B585" s="8">
        <v>44045</v>
      </c>
      <c r="C585" s="9">
        <f t="shared" ca="1" si="36"/>
        <v>16118.645760030578</v>
      </c>
      <c r="D585" s="9">
        <f t="shared" ca="1" si="37"/>
        <v>15027.333607604409</v>
      </c>
      <c r="E585" s="10">
        <f t="shared" ca="1" si="38"/>
        <v>6.3612440387075003E-2</v>
      </c>
      <c r="G585" s="8">
        <v>44045</v>
      </c>
      <c r="H585" s="10">
        <f t="shared" ca="1" si="39"/>
        <v>4.9230585676339721E-2</v>
      </c>
    </row>
    <row r="586" spans="2:8" hidden="1" x14ac:dyDescent="0.2">
      <c r="B586" s="8">
        <v>44046</v>
      </c>
      <c r="C586" s="9">
        <f t="shared" ca="1" si="36"/>
        <v>15654.635244539953</v>
      </c>
      <c r="D586" s="9">
        <f t="shared" ca="1" si="37"/>
        <v>13966.665206859259</v>
      </c>
      <c r="E586" s="10">
        <f t="shared" ca="1" si="38"/>
        <v>7.8108070635068069E-2</v>
      </c>
      <c r="G586" s="8">
        <v>44046</v>
      </c>
      <c r="H586" s="10">
        <f t="shared" ca="1" si="39"/>
        <v>1.1119599873890183E-2</v>
      </c>
    </row>
    <row r="587" spans="2:8" hidden="1" x14ac:dyDescent="0.2">
      <c r="B587" s="8">
        <v>44047</v>
      </c>
      <c r="C587" s="9">
        <f t="shared" ca="1" si="36"/>
        <v>13166.45757006444</v>
      </c>
      <c r="D587" s="9">
        <f t="shared" ca="1" si="37"/>
        <v>11969.997655348052</v>
      </c>
      <c r="E587" s="10">
        <f t="shared" ca="1" si="38"/>
        <v>6.2279305234163106E-2</v>
      </c>
      <c r="G587" s="8">
        <v>44047</v>
      </c>
      <c r="H587" s="10">
        <f t="shared" ca="1" si="39"/>
        <v>2.3734989323359715E-2</v>
      </c>
    </row>
    <row r="588" spans="2:8" hidden="1" x14ac:dyDescent="0.2">
      <c r="B588" s="8">
        <v>44048</v>
      </c>
      <c r="C588" s="9">
        <f t="shared" ca="1" si="36"/>
        <v>13205.67104708825</v>
      </c>
      <c r="D588" s="9">
        <f t="shared" ca="1" si="37"/>
        <v>13931.975658999012</v>
      </c>
      <c r="E588" s="10">
        <f t="shared" ca="1" si="38"/>
        <v>1.3371917930652155E-2</v>
      </c>
      <c r="G588" s="8">
        <v>44048</v>
      </c>
      <c r="H588" s="10">
        <f t="shared" ca="1" si="39"/>
        <v>6.321642203841972E-2</v>
      </c>
    </row>
    <row r="589" spans="2:8" hidden="1" x14ac:dyDescent="0.2">
      <c r="B589" s="8">
        <v>44049</v>
      </c>
      <c r="C589" s="9">
        <f t="shared" ca="1" si="36"/>
        <v>14933.872894956396</v>
      </c>
      <c r="D589" s="9">
        <f t="shared" ca="1" si="37"/>
        <v>17082.024003777988</v>
      </c>
      <c r="E589" s="10">
        <f t="shared" ca="1" si="38"/>
        <v>5.9399654036161376E-2</v>
      </c>
      <c r="G589" s="8">
        <v>44049</v>
      </c>
      <c r="H589" s="10">
        <f t="shared" ca="1" si="39"/>
        <v>7.7108365166384269E-3</v>
      </c>
    </row>
    <row r="590" spans="2:8" hidden="1" x14ac:dyDescent="0.2">
      <c r="B590" s="8">
        <v>44050</v>
      </c>
      <c r="C590" s="9">
        <f t="shared" ca="1" si="36"/>
        <v>11691.18957120772</v>
      </c>
      <c r="D590" s="9">
        <f t="shared" ca="1" si="37"/>
        <v>15843.585945052157</v>
      </c>
      <c r="E590" s="10">
        <f t="shared" ca="1" si="38"/>
        <v>0.12652428199666851</v>
      </c>
      <c r="G590" s="8">
        <v>44050</v>
      </c>
      <c r="H590" s="10">
        <f t="shared" ca="1" si="39"/>
        <v>6.3192299867740956E-2</v>
      </c>
    </row>
    <row r="591" spans="2:8" hidden="1" x14ac:dyDescent="0.2">
      <c r="B591" s="8">
        <v>44051</v>
      </c>
      <c r="C591" s="9">
        <f t="shared" ca="1" si="36"/>
        <v>13685.615185233015</v>
      </c>
      <c r="D591" s="9">
        <f t="shared" ca="1" si="37"/>
        <v>13617.144345761655</v>
      </c>
      <c r="E591" s="10">
        <f t="shared" ca="1" si="38"/>
        <v>5.0945110873698903E-3</v>
      </c>
      <c r="G591" s="8">
        <v>44051</v>
      </c>
      <c r="H591" s="10">
        <f t="shared" ca="1" si="39"/>
        <v>6.1272875300964286E-2</v>
      </c>
    </row>
    <row r="592" spans="2:8" hidden="1" x14ac:dyDescent="0.2">
      <c r="B592" s="8">
        <v>44052</v>
      </c>
      <c r="C592" s="9">
        <f t="shared" ca="1" si="36"/>
        <v>11030.783105699509</v>
      </c>
      <c r="D592" s="9">
        <f t="shared" ca="1" si="37"/>
        <v>12978.203824501457</v>
      </c>
      <c r="E592" s="10">
        <f t="shared" ca="1" si="38"/>
        <v>0.1790436402769246</v>
      </c>
      <c r="G592" s="8">
        <v>44052</v>
      </c>
      <c r="H592" s="10">
        <f t="shared" ca="1" si="39"/>
        <v>6.5725193924667191E-2</v>
      </c>
    </row>
    <row r="593" spans="2:8" hidden="1" x14ac:dyDescent="0.2">
      <c r="B593" s="8">
        <v>44053</v>
      </c>
      <c r="C593" s="9">
        <f t="shared" ca="1" si="36"/>
        <v>15059.756954674142</v>
      </c>
      <c r="D593" s="9">
        <f t="shared" ca="1" si="37"/>
        <v>16306.3226084788</v>
      </c>
      <c r="E593" s="10">
        <f t="shared" ca="1" si="38"/>
        <v>0.19345344048752006</v>
      </c>
      <c r="G593" s="8">
        <v>44053</v>
      </c>
      <c r="H593" s="10">
        <f t="shared" ca="1" si="39"/>
        <v>3.1028574364653259E-2</v>
      </c>
    </row>
    <row r="594" spans="2:8" hidden="1" x14ac:dyDescent="0.2">
      <c r="B594" s="8">
        <v>44054</v>
      </c>
      <c r="C594" s="9">
        <f t="shared" ca="1" si="36"/>
        <v>13764.401660022962</v>
      </c>
      <c r="D594" s="9">
        <f t="shared" ca="1" si="37"/>
        <v>13790.683008967737</v>
      </c>
      <c r="E594" s="10">
        <f t="shared" ca="1" si="38"/>
        <v>0.27074544337213979</v>
      </c>
      <c r="G594" s="8">
        <v>44054</v>
      </c>
      <c r="H594" s="10">
        <f t="shared" ca="1" si="39"/>
        <v>4.7280210415313433E-2</v>
      </c>
    </row>
    <row r="595" spans="2:8" hidden="1" x14ac:dyDescent="0.2">
      <c r="B595" s="8">
        <v>44055</v>
      </c>
      <c r="C595" s="9">
        <f t="shared" ca="1" si="36"/>
        <v>11458.260014287844</v>
      </c>
      <c r="D595" s="9">
        <f t="shared" ca="1" si="37"/>
        <v>14415.051477998875</v>
      </c>
      <c r="E595" s="10">
        <f t="shared" ca="1" si="38"/>
        <v>0.28919890928734943</v>
      </c>
      <c r="G595" s="8">
        <v>44055</v>
      </c>
      <c r="H595" s="10">
        <f t="shared" ca="1" si="39"/>
        <v>6.2534691257249794E-2</v>
      </c>
    </row>
    <row r="596" spans="2:8" hidden="1" x14ac:dyDescent="0.2">
      <c r="B596" s="8">
        <v>44056</v>
      </c>
      <c r="C596" s="9">
        <f t="shared" ca="1" si="36"/>
        <v>12179.220996284103</v>
      </c>
      <c r="D596" s="9">
        <f t="shared" ca="1" si="37"/>
        <v>12007.044092971777</v>
      </c>
      <c r="E596" s="10">
        <f t="shared" ca="1" si="38"/>
        <v>8.7086040024673544E-2</v>
      </c>
      <c r="G596" s="8">
        <v>44056</v>
      </c>
      <c r="H596" s="10">
        <f t="shared" ca="1" si="39"/>
        <v>2.9666601233607117E-2</v>
      </c>
    </row>
    <row r="597" spans="2:8" hidden="1" x14ac:dyDescent="0.2">
      <c r="B597" s="8">
        <v>44057</v>
      </c>
      <c r="C597" s="9">
        <f t="shared" ca="1" si="36"/>
        <v>14253.36076513978</v>
      </c>
      <c r="D597" s="9">
        <f t="shared" ca="1" si="37"/>
        <v>11277.597775065275</v>
      </c>
      <c r="E597" s="10">
        <f t="shared" ca="1" si="38"/>
        <v>0.29691877830819563</v>
      </c>
      <c r="G597" s="8">
        <v>44057</v>
      </c>
      <c r="H597" s="10">
        <f t="shared" ca="1" si="39"/>
        <v>2.0773779836416643E-2</v>
      </c>
    </row>
    <row r="598" spans="2:8" hidden="1" x14ac:dyDescent="0.2">
      <c r="B598" s="8">
        <v>44058</v>
      </c>
      <c r="C598" s="9">
        <f t="shared" ca="1" si="36"/>
        <v>16313.945135095808</v>
      </c>
      <c r="D598" s="9">
        <f t="shared" ca="1" si="37"/>
        <v>10652.299036364631</v>
      </c>
      <c r="E598" s="10">
        <f t="shared" ca="1" si="38"/>
        <v>0.26011154681623921</v>
      </c>
      <c r="G598" s="8">
        <v>44058</v>
      </c>
      <c r="H598" s="10">
        <f t="shared" ca="1" si="39"/>
        <v>5.9720595033880934E-2</v>
      </c>
    </row>
    <row r="599" spans="2:8" hidden="1" x14ac:dyDescent="0.2">
      <c r="B599" s="8">
        <v>44059</v>
      </c>
      <c r="C599" s="9">
        <f t="shared" ca="1" si="36"/>
        <v>11220.064498870655</v>
      </c>
      <c r="D599" s="9">
        <f t="shared" ca="1" si="37"/>
        <v>16048.894071612323</v>
      </c>
      <c r="E599" s="10">
        <f t="shared" ca="1" si="38"/>
        <v>0.18588377767769523</v>
      </c>
      <c r="G599" s="8">
        <v>44059</v>
      </c>
      <c r="H599" s="10">
        <f t="shared" ca="1" si="39"/>
        <v>2.4163665305281631E-2</v>
      </c>
    </row>
    <row r="600" spans="2:8" hidden="1" x14ac:dyDescent="0.2">
      <c r="B600" s="8">
        <v>44060</v>
      </c>
      <c r="C600" s="9">
        <f t="shared" ca="1" si="36"/>
        <v>13671.459873186728</v>
      </c>
      <c r="D600" s="9">
        <f t="shared" ca="1" si="37"/>
        <v>10651.759200507928</v>
      </c>
      <c r="E600" s="10">
        <f t="shared" ca="1" si="38"/>
        <v>2.3877489503077852E-2</v>
      </c>
      <c r="G600" s="8">
        <v>44060</v>
      </c>
      <c r="H600" s="10">
        <f t="shared" ca="1" si="39"/>
        <v>4.3670548058092298E-2</v>
      </c>
    </row>
    <row r="601" spans="2:8" hidden="1" x14ac:dyDescent="0.2">
      <c r="B601" s="8">
        <v>44061</v>
      </c>
      <c r="C601" s="9">
        <f t="shared" ca="1" si="36"/>
        <v>13203.672184237372</v>
      </c>
      <c r="D601" s="9">
        <f t="shared" ca="1" si="37"/>
        <v>10323.812416047411</v>
      </c>
      <c r="E601" s="10">
        <f t="shared" ca="1" si="38"/>
        <v>0.16629958357446825</v>
      </c>
      <c r="G601" s="8">
        <v>44061</v>
      </c>
      <c r="H601" s="10">
        <f t="shared" ca="1" si="39"/>
        <v>2.0835507054833398E-2</v>
      </c>
    </row>
    <row r="602" spans="2:8" hidden="1" x14ac:dyDescent="0.2">
      <c r="B602" s="8">
        <v>44062</v>
      </c>
      <c r="C602" s="9">
        <f t="shared" ca="1" si="36"/>
        <v>14929.05467696218</v>
      </c>
      <c r="D602" s="9">
        <f t="shared" ca="1" si="37"/>
        <v>14368.247063323563</v>
      </c>
      <c r="E602" s="10">
        <f t="shared" ca="1" si="38"/>
        <v>0.22234698102192477</v>
      </c>
      <c r="G602" s="8">
        <v>44062</v>
      </c>
      <c r="H602" s="10">
        <f t="shared" ca="1" si="39"/>
        <v>5.6856144573662858E-3</v>
      </c>
    </row>
    <row r="603" spans="2:8" hidden="1" x14ac:dyDescent="0.2">
      <c r="B603" s="8">
        <v>44063</v>
      </c>
      <c r="C603" s="9">
        <f t="shared" ca="1" si="36"/>
        <v>13266.928606255746</v>
      </c>
      <c r="D603" s="9">
        <f t="shared" ca="1" si="37"/>
        <v>13525.460842506289</v>
      </c>
      <c r="E603" s="10">
        <f t="shared" ca="1" si="38"/>
        <v>4.4515146134807448E-2</v>
      </c>
      <c r="G603" s="8">
        <v>44063</v>
      </c>
      <c r="H603" s="10">
        <f t="shared" ca="1" si="39"/>
        <v>4.6098960199237704E-2</v>
      </c>
    </row>
    <row r="604" spans="2:8" hidden="1" x14ac:dyDescent="0.2">
      <c r="B604" s="8">
        <v>44064</v>
      </c>
      <c r="C604" s="9">
        <f t="shared" ca="1" si="36"/>
        <v>11993.004498440529</v>
      </c>
      <c r="D604" s="9">
        <f t="shared" ca="1" si="37"/>
        <v>17121.046289787504</v>
      </c>
      <c r="E604" s="10">
        <f t="shared" ca="1" si="38"/>
        <v>0.1601338717092832</v>
      </c>
      <c r="G604" s="8">
        <v>44064</v>
      </c>
      <c r="H604" s="10">
        <f t="shared" ca="1" si="39"/>
        <v>3.4612582542264736E-2</v>
      </c>
    </row>
    <row r="605" spans="2:8" hidden="1" x14ac:dyDescent="0.2">
      <c r="B605" s="8">
        <v>44065</v>
      </c>
      <c r="C605" s="9">
        <f t="shared" ca="1" si="36"/>
        <v>12186.838740973522</v>
      </c>
      <c r="D605" s="9">
        <f t="shared" ca="1" si="37"/>
        <v>12925.413876335291</v>
      </c>
      <c r="E605" s="10">
        <f t="shared" ca="1" si="38"/>
        <v>0.28686615364602369</v>
      </c>
      <c r="G605" s="8">
        <v>44065</v>
      </c>
      <c r="H605" s="10">
        <f t="shared" ca="1" si="39"/>
        <v>5.887488372821089E-2</v>
      </c>
    </row>
    <row r="606" spans="2:8" hidden="1" x14ac:dyDescent="0.2">
      <c r="B606" s="8">
        <v>44066</v>
      </c>
      <c r="C606" s="9">
        <f t="shared" ca="1" si="36"/>
        <v>11378.797945068174</v>
      </c>
      <c r="D606" s="9">
        <f t="shared" ca="1" si="37"/>
        <v>17774.881641391064</v>
      </c>
      <c r="E606" s="10">
        <f t="shared" ca="1" si="38"/>
        <v>0.2128619084187732</v>
      </c>
      <c r="G606" s="8">
        <v>44066</v>
      </c>
      <c r="H606" s="10">
        <f t="shared" ca="1" si="39"/>
        <v>5.5457132655316231E-2</v>
      </c>
    </row>
    <row r="607" spans="2:8" hidden="1" x14ac:dyDescent="0.2">
      <c r="B607" s="8">
        <v>44067</v>
      </c>
      <c r="C607" s="9">
        <f t="shared" ca="1" si="36"/>
        <v>13435.929122013948</v>
      </c>
      <c r="D607" s="9">
        <f t="shared" ca="1" si="37"/>
        <v>17247.592452711317</v>
      </c>
      <c r="E607" s="10">
        <f t="shared" ca="1" si="38"/>
        <v>2.0913186492523772E-2</v>
      </c>
      <c r="G607" s="8">
        <v>44067</v>
      </c>
      <c r="H607" s="10">
        <f t="shared" ca="1" si="39"/>
        <v>1.0572327557928356E-2</v>
      </c>
    </row>
    <row r="608" spans="2:8" hidden="1" x14ac:dyDescent="0.2">
      <c r="B608" s="8">
        <v>44068</v>
      </c>
      <c r="C608" s="9">
        <f t="shared" ca="1" si="36"/>
        <v>16007.984780603918</v>
      </c>
      <c r="D608" s="9">
        <f t="shared" ca="1" si="37"/>
        <v>15610.777081553246</v>
      </c>
      <c r="E608" s="10">
        <f t="shared" ca="1" si="38"/>
        <v>0.15837850800505066</v>
      </c>
      <c r="G608" s="8">
        <v>44068</v>
      </c>
      <c r="H608" s="10">
        <f t="shared" ca="1" si="39"/>
        <v>1.0519957207051034E-2</v>
      </c>
    </row>
    <row r="609" spans="2:8" hidden="1" x14ac:dyDescent="0.2">
      <c r="B609" s="8">
        <v>44069</v>
      </c>
      <c r="C609" s="9">
        <f t="shared" ca="1" si="36"/>
        <v>17382.440848327235</v>
      </c>
      <c r="D609" s="9">
        <f t="shared" ca="1" si="37"/>
        <v>15909.230619020833</v>
      </c>
      <c r="E609" s="10">
        <f t="shared" ca="1" si="38"/>
        <v>0.2031565679081547</v>
      </c>
      <c r="G609" s="8">
        <v>44069</v>
      </c>
      <c r="H609" s="10">
        <f t="shared" ca="1" si="39"/>
        <v>2.1818747475732661E-2</v>
      </c>
    </row>
    <row r="610" spans="2:8" hidden="1" x14ac:dyDescent="0.2">
      <c r="B610" s="8">
        <v>44070</v>
      </c>
      <c r="C610" s="9">
        <f t="shared" ca="1" si="36"/>
        <v>10813.842810951792</v>
      </c>
      <c r="D610" s="9">
        <f t="shared" ca="1" si="37"/>
        <v>11404.455311480817</v>
      </c>
      <c r="E610" s="10">
        <f t="shared" ca="1" si="38"/>
        <v>0.18553494173701518</v>
      </c>
      <c r="G610" s="8">
        <v>44070</v>
      </c>
      <c r="H610" s="10">
        <f t="shared" ca="1" si="39"/>
        <v>1.4127111429203068E-2</v>
      </c>
    </row>
    <row r="611" spans="2:8" hidden="1" x14ac:dyDescent="0.2">
      <c r="B611" s="8">
        <v>44071</v>
      </c>
      <c r="C611" s="9">
        <f t="shared" ca="1" si="36"/>
        <v>10745.939807774903</v>
      </c>
      <c r="D611" s="9">
        <f t="shared" ca="1" si="37"/>
        <v>13106.630055963791</v>
      </c>
      <c r="E611" s="10">
        <f t="shared" ca="1" si="38"/>
        <v>3.647460852173777E-2</v>
      </c>
      <c r="G611" s="8">
        <v>44071</v>
      </c>
      <c r="H611" s="10">
        <f t="shared" ca="1" si="39"/>
        <v>5.3235037246242685E-2</v>
      </c>
    </row>
    <row r="612" spans="2:8" hidden="1" x14ac:dyDescent="0.2">
      <c r="B612" s="8">
        <v>44072</v>
      </c>
      <c r="C612" s="9">
        <f t="shared" ca="1" si="36"/>
        <v>17664.012704430323</v>
      </c>
      <c r="D612" s="9">
        <f t="shared" ca="1" si="37"/>
        <v>13668.602089758064</v>
      </c>
      <c r="E612" s="10">
        <f t="shared" ca="1" si="38"/>
        <v>0.17233690079688146</v>
      </c>
      <c r="G612" s="8">
        <v>44072</v>
      </c>
      <c r="H612" s="10">
        <f t="shared" ca="1" si="39"/>
        <v>6.6003090500798833E-2</v>
      </c>
    </row>
    <row r="613" spans="2:8" hidden="1" x14ac:dyDescent="0.2">
      <c r="B613" s="8">
        <v>44073</v>
      </c>
      <c r="C613" s="9">
        <f t="shared" ca="1" si="36"/>
        <v>15690.86931289074</v>
      </c>
      <c r="D613" s="9">
        <f t="shared" ca="1" si="37"/>
        <v>17484.584662487312</v>
      </c>
      <c r="E613" s="10">
        <f t="shared" ca="1" si="38"/>
        <v>0.28086612438902225</v>
      </c>
      <c r="G613" s="8">
        <v>44073</v>
      </c>
      <c r="H613" s="10">
        <f t="shared" ca="1" si="39"/>
        <v>2.5916909028417439E-3</v>
      </c>
    </row>
    <row r="614" spans="2:8" hidden="1" x14ac:dyDescent="0.2">
      <c r="B614" s="8">
        <v>44074</v>
      </c>
      <c r="C614" s="9">
        <f t="shared" ca="1" si="36"/>
        <v>14202.860822507922</v>
      </c>
      <c r="D614" s="9">
        <f t="shared" ca="1" si="37"/>
        <v>13238.025822284329</v>
      </c>
      <c r="E614" s="10">
        <f t="shared" ca="1" si="38"/>
        <v>0.10667905088386152</v>
      </c>
      <c r="G614" s="8">
        <v>44074</v>
      </c>
      <c r="H614" s="10">
        <f t="shared" ca="1" si="39"/>
        <v>5.6419476524291128E-2</v>
      </c>
    </row>
    <row r="615" spans="2:8" hidden="1" x14ac:dyDescent="0.2">
      <c r="B615" s="8">
        <v>44075</v>
      </c>
      <c r="C615" s="9">
        <f t="shared" ca="1" si="36"/>
        <v>16081.010487932508</v>
      </c>
      <c r="D615" s="9">
        <f t="shared" ca="1" si="37"/>
        <v>16268.396746297247</v>
      </c>
      <c r="E615" s="10">
        <f t="shared" ca="1" si="38"/>
        <v>0.13213047579380754</v>
      </c>
      <c r="G615" s="8">
        <v>44075</v>
      </c>
      <c r="H615" s="10">
        <f t="shared" ca="1" si="39"/>
        <v>2.9160513638020295E-2</v>
      </c>
    </row>
    <row r="616" spans="2:8" hidden="1" x14ac:dyDescent="0.2">
      <c r="B616" s="8">
        <v>44076</v>
      </c>
      <c r="C616" s="9">
        <f t="shared" ca="1" si="36"/>
        <v>10523.351761904738</v>
      </c>
      <c r="D616" s="9">
        <f t="shared" ca="1" si="37"/>
        <v>13762.555348614578</v>
      </c>
      <c r="E616" s="10">
        <f t="shared" ca="1" si="38"/>
        <v>0.15995166499646132</v>
      </c>
      <c r="G616" s="8">
        <v>44076</v>
      </c>
      <c r="H616" s="10">
        <f t="shared" ca="1" si="39"/>
        <v>3.1516852847947086E-2</v>
      </c>
    </row>
    <row r="617" spans="2:8" hidden="1" x14ac:dyDescent="0.2">
      <c r="B617" s="8">
        <v>44077</v>
      </c>
      <c r="C617" s="9">
        <f t="shared" ca="1" si="36"/>
        <v>16262.937470829345</v>
      </c>
      <c r="D617" s="9">
        <f t="shared" ca="1" si="37"/>
        <v>12777.635829920175</v>
      </c>
      <c r="E617" s="10">
        <f t="shared" ca="1" si="38"/>
        <v>0.28636012475840489</v>
      </c>
      <c r="G617" s="8">
        <v>44077</v>
      </c>
      <c r="H617" s="10">
        <f t="shared" ca="1" si="39"/>
        <v>5.5819431968722029E-2</v>
      </c>
    </row>
    <row r="618" spans="2:8" hidden="1" x14ac:dyDescent="0.2">
      <c r="B618" s="8">
        <v>44078</v>
      </c>
      <c r="C618" s="9">
        <f t="shared" ca="1" si="36"/>
        <v>13943.352375308436</v>
      </c>
      <c r="D618" s="9">
        <f t="shared" ca="1" si="37"/>
        <v>12936.599742443797</v>
      </c>
      <c r="E618" s="10">
        <f t="shared" ca="1" si="38"/>
        <v>2.6100576474976877E-3</v>
      </c>
      <c r="G618" s="8">
        <v>44078</v>
      </c>
      <c r="H618" s="10">
        <f t="shared" ca="1" si="39"/>
        <v>3.4119957510227103E-2</v>
      </c>
    </row>
    <row r="619" spans="2:8" hidden="1" x14ac:dyDescent="0.2">
      <c r="B619" s="8">
        <v>44079</v>
      </c>
      <c r="C619" s="9">
        <f t="shared" ca="1" si="36"/>
        <v>17031.501499483202</v>
      </c>
      <c r="D619" s="9">
        <f t="shared" ca="1" si="37"/>
        <v>13762.336803992994</v>
      </c>
      <c r="E619" s="10">
        <f t="shared" ca="1" si="38"/>
        <v>0.13512214400097369</v>
      </c>
      <c r="G619" s="8">
        <v>44079</v>
      </c>
      <c r="H619" s="10">
        <f t="shared" ca="1" si="39"/>
        <v>1.874167551792914E-2</v>
      </c>
    </row>
    <row r="620" spans="2:8" hidden="1" x14ac:dyDescent="0.2">
      <c r="B620" s="8">
        <v>44080</v>
      </c>
      <c r="C620" s="9">
        <f t="shared" ca="1" si="36"/>
        <v>10907.214757085338</v>
      </c>
      <c r="D620" s="9">
        <f t="shared" ca="1" si="37"/>
        <v>14819.334150339353</v>
      </c>
      <c r="E620" s="10">
        <f t="shared" ca="1" si="38"/>
        <v>0.14768858130675244</v>
      </c>
      <c r="G620" s="8">
        <v>44080</v>
      </c>
      <c r="H620" s="10">
        <f t="shared" ca="1" si="39"/>
        <v>3.9774130387004161E-3</v>
      </c>
    </row>
    <row r="621" spans="2:8" hidden="1" x14ac:dyDescent="0.2">
      <c r="B621" s="8">
        <v>44081</v>
      </c>
      <c r="C621" s="9">
        <f t="shared" ca="1" si="36"/>
        <v>14654.020183838926</v>
      </c>
      <c r="D621" s="9">
        <f t="shared" ca="1" si="37"/>
        <v>15292.354227476249</v>
      </c>
      <c r="E621" s="10">
        <f t="shared" ca="1" si="38"/>
        <v>0.29567566089581299</v>
      </c>
      <c r="G621" s="8">
        <v>44081</v>
      </c>
      <c r="H621" s="10">
        <f t="shared" ca="1" si="39"/>
        <v>3.3248338230090491E-2</v>
      </c>
    </row>
    <row r="622" spans="2:8" hidden="1" x14ac:dyDescent="0.2">
      <c r="B622" s="8">
        <v>44082</v>
      </c>
      <c r="C622" s="9">
        <f t="shared" ca="1" si="36"/>
        <v>13106.666266100699</v>
      </c>
      <c r="D622" s="9">
        <f t="shared" ca="1" si="37"/>
        <v>10935.316985782702</v>
      </c>
      <c r="E622" s="10">
        <f t="shared" ca="1" si="38"/>
        <v>4.7746838298981707E-2</v>
      </c>
      <c r="G622" s="8">
        <v>44082</v>
      </c>
      <c r="H622" s="10">
        <f t="shared" ca="1" si="39"/>
        <v>2.1161731259349826E-2</v>
      </c>
    </row>
    <row r="623" spans="2:8" hidden="1" x14ac:dyDescent="0.2">
      <c r="B623" s="8">
        <v>44083</v>
      </c>
      <c r="C623" s="9">
        <f t="shared" ca="1" si="36"/>
        <v>11886.538195197601</v>
      </c>
      <c r="D623" s="9">
        <f t="shared" ca="1" si="37"/>
        <v>14713.679586640919</v>
      </c>
      <c r="E623" s="10">
        <f t="shared" ca="1" si="38"/>
        <v>0.25638680027525351</v>
      </c>
      <c r="G623" s="8">
        <v>44083</v>
      </c>
      <c r="H623" s="10">
        <f t="shared" ca="1" si="39"/>
        <v>6.3233706612693313E-2</v>
      </c>
    </row>
    <row r="624" spans="2:8" hidden="1" x14ac:dyDescent="0.2">
      <c r="B624" s="8">
        <v>44084</v>
      </c>
      <c r="C624" s="9">
        <f t="shared" ca="1" si="36"/>
        <v>13896.506336539456</v>
      </c>
      <c r="D624" s="9">
        <f t="shared" ca="1" si="37"/>
        <v>12770.759695714256</v>
      </c>
      <c r="E624" s="10">
        <f t="shared" ca="1" si="38"/>
        <v>0.23236345024406041</v>
      </c>
      <c r="G624" s="8">
        <v>44084</v>
      </c>
      <c r="H624" s="10">
        <f t="shared" ca="1" si="39"/>
        <v>1.1673143699748657E-2</v>
      </c>
    </row>
    <row r="625" spans="2:8" hidden="1" x14ac:dyDescent="0.2">
      <c r="B625" s="8">
        <v>44085</v>
      </c>
      <c r="C625" s="9">
        <f t="shared" ca="1" si="36"/>
        <v>16072.408227927721</v>
      </c>
      <c r="D625" s="9">
        <f t="shared" ca="1" si="37"/>
        <v>15431.375677253873</v>
      </c>
      <c r="E625" s="10">
        <f t="shared" ca="1" si="38"/>
        <v>0.2468751913406288</v>
      </c>
      <c r="G625" s="8">
        <v>44085</v>
      </c>
      <c r="H625" s="10">
        <f t="shared" ca="1" si="39"/>
        <v>7.7637916390630255E-3</v>
      </c>
    </row>
    <row r="626" spans="2:8" hidden="1" x14ac:dyDescent="0.2">
      <c r="B626" s="8">
        <v>44086</v>
      </c>
      <c r="C626" s="9">
        <f t="shared" ca="1" si="36"/>
        <v>17579.457044755793</v>
      </c>
      <c r="D626" s="9">
        <f t="shared" ca="1" si="37"/>
        <v>14690.87032690362</v>
      </c>
      <c r="E626" s="10">
        <f t="shared" ca="1" si="38"/>
        <v>0.16263096726579487</v>
      </c>
      <c r="G626" s="8">
        <v>44086</v>
      </c>
      <c r="H626" s="10">
        <f t="shared" ca="1" si="39"/>
        <v>6.1149382585300727E-2</v>
      </c>
    </row>
    <row r="627" spans="2:8" hidden="1" x14ac:dyDescent="0.2">
      <c r="B627" s="8">
        <v>44087</v>
      </c>
      <c r="C627" s="9">
        <f t="shared" ca="1" si="36"/>
        <v>17055.753355333625</v>
      </c>
      <c r="D627" s="9">
        <f t="shared" ca="1" si="37"/>
        <v>12598.530195048657</v>
      </c>
      <c r="E627" s="10">
        <f t="shared" ca="1" si="38"/>
        <v>1.4366439211996095E-3</v>
      </c>
      <c r="G627" s="8">
        <v>44087</v>
      </c>
      <c r="H627" s="10">
        <f t="shared" ca="1" si="39"/>
        <v>5.9852262158368169E-3</v>
      </c>
    </row>
    <row r="628" spans="2:8" hidden="1" x14ac:dyDescent="0.2">
      <c r="B628" s="8">
        <v>44088</v>
      </c>
      <c r="C628" s="9">
        <f t="shared" ca="1" si="36"/>
        <v>17311.754434226044</v>
      </c>
      <c r="D628" s="9">
        <f t="shared" ca="1" si="37"/>
        <v>11296.330664670846</v>
      </c>
      <c r="E628" s="10">
        <f t="shared" ca="1" si="38"/>
        <v>0.17340790891863661</v>
      </c>
      <c r="G628" s="8">
        <v>44088</v>
      </c>
      <c r="H628" s="10">
        <f t="shared" ca="1" si="39"/>
        <v>2.4215304204808188E-2</v>
      </c>
    </row>
    <row r="629" spans="2:8" hidden="1" x14ac:dyDescent="0.2">
      <c r="B629" s="8">
        <v>44089</v>
      </c>
      <c r="C629" s="9">
        <f t="shared" ca="1" si="36"/>
        <v>12636.164655248926</v>
      </c>
      <c r="D629" s="9">
        <f t="shared" ca="1" si="37"/>
        <v>16284.030520068352</v>
      </c>
      <c r="E629" s="10">
        <f t="shared" ca="1" si="38"/>
        <v>0.19476766411532132</v>
      </c>
      <c r="G629" s="8">
        <v>44089</v>
      </c>
      <c r="H629" s="10">
        <f t="shared" ca="1" si="39"/>
        <v>1.9580832166001538E-2</v>
      </c>
    </row>
    <row r="630" spans="2:8" hidden="1" x14ac:dyDescent="0.2">
      <c r="B630" s="8">
        <v>44090</v>
      </c>
      <c r="C630" s="9">
        <f t="shared" ca="1" si="36"/>
        <v>12993.347156037247</v>
      </c>
      <c r="D630" s="9">
        <f t="shared" ca="1" si="37"/>
        <v>14134.408349171801</v>
      </c>
      <c r="E630" s="10">
        <f t="shared" ca="1" si="38"/>
        <v>0.2634928101793797</v>
      </c>
      <c r="G630" s="8">
        <v>44090</v>
      </c>
      <c r="H630" s="10">
        <f t="shared" ca="1" si="39"/>
        <v>5.4809768199097574E-2</v>
      </c>
    </row>
    <row r="631" spans="2:8" hidden="1" x14ac:dyDescent="0.2">
      <c r="B631" s="8">
        <v>44091</v>
      </c>
      <c r="C631" s="9">
        <f t="shared" ca="1" si="36"/>
        <v>11471.353234166723</v>
      </c>
      <c r="D631" s="9">
        <f t="shared" ca="1" si="37"/>
        <v>10607.779308449846</v>
      </c>
      <c r="E631" s="10">
        <f t="shared" ca="1" si="38"/>
        <v>0.15798903738163858</v>
      </c>
      <c r="G631" s="8">
        <v>44091</v>
      </c>
      <c r="H631" s="10">
        <f t="shared" ca="1" si="39"/>
        <v>2.2232437941245176E-2</v>
      </c>
    </row>
    <row r="632" spans="2:8" hidden="1" x14ac:dyDescent="0.2">
      <c r="B632" s="8">
        <v>44092</v>
      </c>
      <c r="C632" s="9">
        <f t="shared" ca="1" si="36"/>
        <v>10951.335839676371</v>
      </c>
      <c r="D632" s="9">
        <f t="shared" ca="1" si="37"/>
        <v>12757.752589870464</v>
      </c>
      <c r="E632" s="10">
        <f t="shared" ca="1" si="38"/>
        <v>0.13557682064528401</v>
      </c>
      <c r="G632" s="8">
        <v>44092</v>
      </c>
      <c r="H632" s="10">
        <f t="shared" ca="1" si="39"/>
        <v>6.3846529027948198E-2</v>
      </c>
    </row>
    <row r="633" spans="2:8" hidden="1" x14ac:dyDescent="0.2">
      <c r="B633" s="8">
        <v>44093</v>
      </c>
      <c r="C633" s="9">
        <f t="shared" ca="1" si="36"/>
        <v>10576.024528432061</v>
      </c>
      <c r="D633" s="9">
        <f t="shared" ca="1" si="37"/>
        <v>16297.457266525289</v>
      </c>
      <c r="E633" s="10">
        <f t="shared" ca="1" si="38"/>
        <v>6.4039210046459724E-2</v>
      </c>
      <c r="G633" s="8">
        <v>44093</v>
      </c>
      <c r="H633" s="10">
        <f t="shared" ca="1" si="39"/>
        <v>2.9473442347823058E-2</v>
      </c>
    </row>
    <row r="634" spans="2:8" hidden="1" x14ac:dyDescent="0.2">
      <c r="B634" s="8">
        <v>44094</v>
      </c>
      <c r="C634" s="9">
        <f t="shared" ca="1" si="36"/>
        <v>15212.010835103287</v>
      </c>
      <c r="D634" s="9">
        <f t="shared" ca="1" si="37"/>
        <v>16793.557469335068</v>
      </c>
      <c r="E634" s="10">
        <f t="shared" ca="1" si="38"/>
        <v>0.26707022814817738</v>
      </c>
      <c r="G634" s="8">
        <v>44094</v>
      </c>
      <c r="H634" s="10">
        <f t="shared" ca="1" si="39"/>
        <v>4.1654667885287051E-2</v>
      </c>
    </row>
    <row r="635" spans="2:8" hidden="1" x14ac:dyDescent="0.2">
      <c r="B635" s="8">
        <v>44095</v>
      </c>
      <c r="C635" s="9">
        <f t="shared" ca="1" si="36"/>
        <v>16038.716662048679</v>
      </c>
      <c r="D635" s="9">
        <f t="shared" ca="1" si="37"/>
        <v>11960.04497595789</v>
      </c>
      <c r="E635" s="10">
        <f t="shared" ca="1" si="38"/>
        <v>0.11957948065491608</v>
      </c>
      <c r="G635" s="8">
        <v>44095</v>
      </c>
      <c r="H635" s="10">
        <f t="shared" ca="1" si="39"/>
        <v>5.9755761464337712E-2</v>
      </c>
    </row>
    <row r="636" spans="2:8" hidden="1" x14ac:dyDescent="0.2">
      <c r="B636" s="8">
        <v>44096</v>
      </c>
      <c r="C636" s="9">
        <f t="shared" ca="1" si="36"/>
        <v>11701.028121586291</v>
      </c>
      <c r="D636" s="9">
        <f t="shared" ca="1" si="37"/>
        <v>14243.531785033567</v>
      </c>
      <c r="E636" s="10">
        <f t="shared" ca="1" si="38"/>
        <v>0.1910857589562176</v>
      </c>
      <c r="G636" s="8">
        <v>44096</v>
      </c>
      <c r="H636" s="10">
        <f t="shared" ca="1" si="39"/>
        <v>5.1867948143981144E-2</v>
      </c>
    </row>
    <row r="637" spans="2:8" hidden="1" x14ac:dyDescent="0.2">
      <c r="B637" s="8">
        <v>44097</v>
      </c>
      <c r="C637" s="9">
        <f t="shared" ca="1" si="36"/>
        <v>15124.565924894818</v>
      </c>
      <c r="D637" s="9">
        <f t="shared" ca="1" si="37"/>
        <v>10007.712699925032</v>
      </c>
      <c r="E637" s="10">
        <f t="shared" ca="1" si="38"/>
        <v>0.28210075806612139</v>
      </c>
      <c r="G637" s="8">
        <v>44097</v>
      </c>
      <c r="H637" s="10">
        <f t="shared" ca="1" si="39"/>
        <v>6.0156901304585578E-2</v>
      </c>
    </row>
    <row r="638" spans="2:8" hidden="1" x14ac:dyDescent="0.2">
      <c r="B638" s="8">
        <v>44098</v>
      </c>
      <c r="C638" s="9">
        <f t="shared" ca="1" si="36"/>
        <v>11019.272783537064</v>
      </c>
      <c r="D638" s="9">
        <f t="shared" ca="1" si="37"/>
        <v>11361.739732640914</v>
      </c>
      <c r="E638" s="10">
        <f t="shared" ca="1" si="38"/>
        <v>0.14984058338686429</v>
      </c>
      <c r="G638" s="8">
        <v>44098</v>
      </c>
      <c r="H638" s="10">
        <f t="shared" ca="1" si="39"/>
        <v>2.0250360475596925E-2</v>
      </c>
    </row>
    <row r="639" spans="2:8" hidden="1" x14ac:dyDescent="0.2">
      <c r="B639" s="8">
        <v>44099</v>
      </c>
      <c r="C639" s="9">
        <f t="shared" ca="1" si="36"/>
        <v>12820.549682492881</v>
      </c>
      <c r="D639" s="9">
        <f t="shared" ca="1" si="37"/>
        <v>15388.405392153923</v>
      </c>
      <c r="E639" s="10">
        <f t="shared" ca="1" si="38"/>
        <v>0.25199067522839758</v>
      </c>
      <c r="G639" s="8">
        <v>44099</v>
      </c>
      <c r="H639" s="10">
        <f t="shared" ca="1" si="39"/>
        <v>1.0508456122631044E-2</v>
      </c>
    </row>
    <row r="640" spans="2:8" hidden="1" x14ac:dyDescent="0.2">
      <c r="B640" s="8">
        <v>44100</v>
      </c>
      <c r="C640" s="9">
        <f t="shared" ca="1" si="36"/>
        <v>13932.069612388994</v>
      </c>
      <c r="D640" s="9">
        <f t="shared" ca="1" si="37"/>
        <v>11090.71818834077</v>
      </c>
      <c r="E640" s="10">
        <f t="shared" ca="1" si="38"/>
        <v>0.29826242402430442</v>
      </c>
      <c r="G640" s="8">
        <v>44100</v>
      </c>
      <c r="H640" s="10">
        <f t="shared" ca="1" si="39"/>
        <v>6.3717228098052692E-2</v>
      </c>
    </row>
    <row r="641" spans="2:8" hidden="1" x14ac:dyDescent="0.2">
      <c r="B641" s="8">
        <v>44101</v>
      </c>
      <c r="C641" s="9">
        <f t="shared" ca="1" si="36"/>
        <v>17874.204277465844</v>
      </c>
      <c r="D641" s="9">
        <f t="shared" ca="1" si="37"/>
        <v>11475.525748347049</v>
      </c>
      <c r="E641" s="10">
        <f t="shared" ca="1" si="38"/>
        <v>7.1788841084753321E-2</v>
      </c>
      <c r="G641" s="8">
        <v>44101</v>
      </c>
      <c r="H641" s="10">
        <f t="shared" ca="1" si="39"/>
        <v>2.45877831946168E-2</v>
      </c>
    </row>
    <row r="642" spans="2:8" hidden="1" x14ac:dyDescent="0.2">
      <c r="B642" s="8">
        <v>44102</v>
      </c>
      <c r="C642" s="9">
        <f t="shared" ca="1" si="36"/>
        <v>15132.579630527849</v>
      </c>
      <c r="D642" s="9">
        <f t="shared" ca="1" si="37"/>
        <v>10543.688572400592</v>
      </c>
      <c r="E642" s="10">
        <f t="shared" ca="1" si="38"/>
        <v>0.21119472670794867</v>
      </c>
      <c r="G642" s="8">
        <v>44102</v>
      </c>
      <c r="H642" s="10">
        <f t="shared" ca="1" si="39"/>
        <v>4.3859820298968816E-2</v>
      </c>
    </row>
    <row r="643" spans="2:8" hidden="1" x14ac:dyDescent="0.2">
      <c r="B643" s="8">
        <v>44103</v>
      </c>
      <c r="C643" s="9">
        <f t="shared" ca="1" si="36"/>
        <v>14337.862697173394</v>
      </c>
      <c r="D643" s="9">
        <f t="shared" ca="1" si="37"/>
        <v>13247.783920975464</v>
      </c>
      <c r="E643" s="10">
        <f t="shared" ca="1" si="38"/>
        <v>7.337223518497981E-3</v>
      </c>
      <c r="G643" s="8">
        <v>44103</v>
      </c>
      <c r="H643" s="10">
        <f t="shared" ca="1" si="39"/>
        <v>5.1397534381929358E-2</v>
      </c>
    </row>
    <row r="644" spans="2:8" hidden="1" x14ac:dyDescent="0.2">
      <c r="B644" s="8">
        <v>44104</v>
      </c>
      <c r="C644" s="9">
        <f t="shared" ca="1" si="36"/>
        <v>13712.640048274065</v>
      </c>
      <c r="D644" s="9">
        <f t="shared" ca="1" si="37"/>
        <v>16650.632696511027</v>
      </c>
      <c r="E644" s="10">
        <f t="shared" ca="1" si="38"/>
        <v>0.25383196419258391</v>
      </c>
      <c r="G644" s="8">
        <v>44104</v>
      </c>
      <c r="H644" s="10">
        <f t="shared" ca="1" si="39"/>
        <v>4.2876463838516975E-2</v>
      </c>
    </row>
    <row r="645" spans="2:8" hidden="1" x14ac:dyDescent="0.2">
      <c r="B645" s="8">
        <v>44105</v>
      </c>
      <c r="C645" s="9">
        <f t="shared" ca="1" si="36"/>
        <v>14351.920018922439</v>
      </c>
      <c r="D645" s="9">
        <f t="shared" ca="1" si="37"/>
        <v>15266.169377135331</v>
      </c>
      <c r="E645" s="10">
        <f t="shared" ca="1" si="38"/>
        <v>0.28903799495317345</v>
      </c>
      <c r="G645" s="8">
        <v>44105</v>
      </c>
      <c r="H645" s="10">
        <f t="shared" ca="1" si="39"/>
        <v>5.0868965355358906E-4</v>
      </c>
    </row>
    <row r="646" spans="2:8" hidden="1" x14ac:dyDescent="0.2">
      <c r="B646" s="8">
        <v>44106</v>
      </c>
      <c r="C646" s="9">
        <f t="shared" ca="1" si="36"/>
        <v>12730.216219533164</v>
      </c>
      <c r="D646" s="9">
        <f t="shared" ca="1" si="37"/>
        <v>12634.16052747293</v>
      </c>
      <c r="E646" s="10">
        <f t="shared" ca="1" si="38"/>
        <v>0.20710959370660031</v>
      </c>
      <c r="G646" s="8">
        <v>44106</v>
      </c>
      <c r="H646" s="10">
        <f t="shared" ca="1" si="39"/>
        <v>2.3403382929878674E-2</v>
      </c>
    </row>
    <row r="647" spans="2:8" hidden="1" x14ac:dyDescent="0.2">
      <c r="B647" s="8">
        <v>44107</v>
      </c>
      <c r="C647" s="9">
        <f t="shared" ref="C647:C710" ca="1" si="40">RAND()*(18000-10000)+10000</f>
        <v>15146.094361886186</v>
      </c>
      <c r="D647" s="9">
        <f t="shared" ref="D647:D710" ca="1" si="41">RAND()*(18000-10000)+10000</f>
        <v>11629.319600107507</v>
      </c>
      <c r="E647" s="10">
        <f t="shared" ref="E647:E710" ca="1" si="42">RAND()*(30%-0%)+0%</f>
        <v>0.2395471590325759</v>
      </c>
      <c r="G647" s="8">
        <v>44107</v>
      </c>
      <c r="H647" s="10">
        <f t="shared" ref="H647:H710" ca="1" si="43">RAND()*(7%-0%)+0%</f>
        <v>2.317060458603246E-2</v>
      </c>
    </row>
    <row r="648" spans="2:8" hidden="1" x14ac:dyDescent="0.2">
      <c r="B648" s="8">
        <v>44108</v>
      </c>
      <c r="C648" s="9">
        <f t="shared" ca="1" si="40"/>
        <v>11880.168841211225</v>
      </c>
      <c r="D648" s="9">
        <f t="shared" ca="1" si="41"/>
        <v>17149.853144615739</v>
      </c>
      <c r="E648" s="10">
        <f t="shared" ca="1" si="42"/>
        <v>5.0865722607029339E-2</v>
      </c>
      <c r="G648" s="8">
        <v>44108</v>
      </c>
      <c r="H648" s="10">
        <f t="shared" ca="1" si="43"/>
        <v>6.1240959165120762E-2</v>
      </c>
    </row>
    <row r="649" spans="2:8" hidden="1" x14ac:dyDescent="0.2">
      <c r="B649" s="8">
        <v>44109</v>
      </c>
      <c r="C649" s="9">
        <f t="shared" ca="1" si="40"/>
        <v>15372.941928566035</v>
      </c>
      <c r="D649" s="9">
        <f t="shared" ca="1" si="41"/>
        <v>15522.225136934863</v>
      </c>
      <c r="E649" s="10">
        <f t="shared" ca="1" si="42"/>
        <v>0.10771733164548378</v>
      </c>
      <c r="G649" s="8">
        <v>44109</v>
      </c>
      <c r="H649" s="10">
        <f t="shared" ca="1" si="43"/>
        <v>5.182335977916025E-2</v>
      </c>
    </row>
    <row r="650" spans="2:8" hidden="1" x14ac:dyDescent="0.2">
      <c r="B650" s="8">
        <v>44110</v>
      </c>
      <c r="C650" s="9">
        <f t="shared" ca="1" si="40"/>
        <v>10924.126370806785</v>
      </c>
      <c r="D650" s="9">
        <f t="shared" ca="1" si="41"/>
        <v>16469.931896914484</v>
      </c>
      <c r="E650" s="10">
        <f t="shared" ca="1" si="42"/>
        <v>4.6576363415460433E-2</v>
      </c>
      <c r="G650" s="8">
        <v>44110</v>
      </c>
      <c r="H650" s="10">
        <f t="shared" ca="1" si="43"/>
        <v>5.9215390370534908E-2</v>
      </c>
    </row>
    <row r="651" spans="2:8" hidden="1" x14ac:dyDescent="0.2">
      <c r="B651" s="8">
        <v>44111</v>
      </c>
      <c r="C651" s="9">
        <f t="shared" ca="1" si="40"/>
        <v>16894.786728388466</v>
      </c>
      <c r="D651" s="9">
        <f t="shared" ca="1" si="41"/>
        <v>14549.714741125517</v>
      </c>
      <c r="E651" s="10">
        <f t="shared" ca="1" si="42"/>
        <v>7.2919910392565818E-2</v>
      </c>
      <c r="G651" s="8">
        <v>44111</v>
      </c>
      <c r="H651" s="10">
        <f t="shared" ca="1" si="43"/>
        <v>2.1923937470277456E-3</v>
      </c>
    </row>
    <row r="652" spans="2:8" hidden="1" x14ac:dyDescent="0.2">
      <c r="B652" s="8">
        <v>44112</v>
      </c>
      <c r="C652" s="9">
        <f t="shared" ca="1" si="40"/>
        <v>13818.930266526067</v>
      </c>
      <c r="D652" s="9">
        <f t="shared" ca="1" si="41"/>
        <v>14632.460721371484</v>
      </c>
      <c r="E652" s="10">
        <f t="shared" ca="1" si="42"/>
        <v>0.27491317221573081</v>
      </c>
      <c r="G652" s="8">
        <v>44112</v>
      </c>
      <c r="H652" s="10">
        <f t="shared" ca="1" si="43"/>
        <v>1.6530721243657349E-2</v>
      </c>
    </row>
    <row r="653" spans="2:8" hidden="1" x14ac:dyDescent="0.2">
      <c r="B653" s="8">
        <v>44113</v>
      </c>
      <c r="C653" s="9">
        <f t="shared" ca="1" si="40"/>
        <v>12778.009842226435</v>
      </c>
      <c r="D653" s="9">
        <f t="shared" ca="1" si="41"/>
        <v>11760.540898940104</v>
      </c>
      <c r="E653" s="10">
        <f t="shared" ca="1" si="42"/>
        <v>0.10143413005369149</v>
      </c>
      <c r="G653" s="8">
        <v>44113</v>
      </c>
      <c r="H653" s="10">
        <f t="shared" ca="1" si="43"/>
        <v>6.4386700127807672E-2</v>
      </c>
    </row>
    <row r="654" spans="2:8" hidden="1" x14ac:dyDescent="0.2">
      <c r="B654" s="8">
        <v>44114</v>
      </c>
      <c r="C654" s="9">
        <f t="shared" ca="1" si="40"/>
        <v>10689.142349180875</v>
      </c>
      <c r="D654" s="9">
        <f t="shared" ca="1" si="41"/>
        <v>12263.068188439</v>
      </c>
      <c r="E654" s="10">
        <f t="shared" ca="1" si="42"/>
        <v>0.23019558032053666</v>
      </c>
      <c r="G654" s="8">
        <v>44114</v>
      </c>
      <c r="H654" s="10">
        <f t="shared" ca="1" si="43"/>
        <v>4.7635977094548337E-2</v>
      </c>
    </row>
    <row r="655" spans="2:8" hidden="1" x14ac:dyDescent="0.2">
      <c r="B655" s="8">
        <v>44115</v>
      </c>
      <c r="C655" s="9">
        <f t="shared" ca="1" si="40"/>
        <v>16783.04447761763</v>
      </c>
      <c r="D655" s="9">
        <f t="shared" ca="1" si="41"/>
        <v>14315.71386436021</v>
      </c>
      <c r="E655" s="10">
        <f t="shared" ca="1" si="42"/>
        <v>3.5622841667144266E-2</v>
      </c>
      <c r="G655" s="8">
        <v>44115</v>
      </c>
      <c r="H655" s="10">
        <f t="shared" ca="1" si="43"/>
        <v>1.6037998011919092E-2</v>
      </c>
    </row>
    <row r="656" spans="2:8" hidden="1" x14ac:dyDescent="0.2">
      <c r="B656" s="8">
        <v>44116</v>
      </c>
      <c r="C656" s="9">
        <f t="shared" ca="1" si="40"/>
        <v>10178.497963753345</v>
      </c>
      <c r="D656" s="9">
        <f t="shared" ca="1" si="41"/>
        <v>13217.917548134614</v>
      </c>
      <c r="E656" s="10">
        <f t="shared" ca="1" si="42"/>
        <v>0.19027875668359936</v>
      </c>
      <c r="G656" s="8">
        <v>44116</v>
      </c>
      <c r="H656" s="10">
        <f t="shared" ca="1" si="43"/>
        <v>1.6926529557175097E-2</v>
      </c>
    </row>
    <row r="657" spans="2:8" hidden="1" x14ac:dyDescent="0.2">
      <c r="B657" s="8">
        <v>44117</v>
      </c>
      <c r="C657" s="9">
        <f t="shared" ca="1" si="40"/>
        <v>17088.838148016697</v>
      </c>
      <c r="D657" s="9">
        <f t="shared" ca="1" si="41"/>
        <v>17683.990432446266</v>
      </c>
      <c r="E657" s="10">
        <f t="shared" ca="1" si="42"/>
        <v>6.7556409328080561E-2</v>
      </c>
      <c r="G657" s="8">
        <v>44117</v>
      </c>
      <c r="H657" s="10">
        <f t="shared" ca="1" si="43"/>
        <v>4.7821635282873025E-2</v>
      </c>
    </row>
    <row r="658" spans="2:8" hidden="1" x14ac:dyDescent="0.2">
      <c r="B658" s="8">
        <v>44118</v>
      </c>
      <c r="C658" s="9">
        <f t="shared" ca="1" si="40"/>
        <v>16740.247338207111</v>
      </c>
      <c r="D658" s="9">
        <f t="shared" ca="1" si="41"/>
        <v>17636.688358555159</v>
      </c>
      <c r="E658" s="10">
        <f t="shared" ca="1" si="42"/>
        <v>9.6082586272073847E-2</v>
      </c>
      <c r="G658" s="8">
        <v>44118</v>
      </c>
      <c r="H658" s="10">
        <f t="shared" ca="1" si="43"/>
        <v>5.1560421355027947E-2</v>
      </c>
    </row>
    <row r="659" spans="2:8" hidden="1" x14ac:dyDescent="0.2">
      <c r="B659" s="8">
        <v>44119</v>
      </c>
      <c r="C659" s="9">
        <f t="shared" ca="1" si="40"/>
        <v>16798.579786846531</v>
      </c>
      <c r="D659" s="9">
        <f t="shared" ca="1" si="41"/>
        <v>17445.153954394056</v>
      </c>
      <c r="E659" s="10">
        <f t="shared" ca="1" si="42"/>
        <v>0.1786845287661751</v>
      </c>
      <c r="G659" s="8">
        <v>44119</v>
      </c>
      <c r="H659" s="10">
        <f t="shared" ca="1" si="43"/>
        <v>4.4090006237305274E-2</v>
      </c>
    </row>
    <row r="660" spans="2:8" hidden="1" x14ac:dyDescent="0.2">
      <c r="B660" s="8">
        <v>44120</v>
      </c>
      <c r="C660" s="9">
        <f t="shared" ca="1" si="40"/>
        <v>14246.023972905708</v>
      </c>
      <c r="D660" s="9">
        <f t="shared" ca="1" si="41"/>
        <v>16783.339771001483</v>
      </c>
      <c r="E660" s="10">
        <f t="shared" ca="1" si="42"/>
        <v>5.9599493608215856E-2</v>
      </c>
      <c r="G660" s="8">
        <v>44120</v>
      </c>
      <c r="H660" s="10">
        <f t="shared" ca="1" si="43"/>
        <v>4.7371873316599228E-2</v>
      </c>
    </row>
    <row r="661" spans="2:8" hidden="1" x14ac:dyDescent="0.2">
      <c r="B661" s="8">
        <v>44121</v>
      </c>
      <c r="C661" s="9">
        <f t="shared" ca="1" si="40"/>
        <v>10135.872063027866</v>
      </c>
      <c r="D661" s="9">
        <f t="shared" ca="1" si="41"/>
        <v>16920.27836861879</v>
      </c>
      <c r="E661" s="10">
        <f t="shared" ca="1" si="42"/>
        <v>0.2365604896798561</v>
      </c>
      <c r="G661" s="8">
        <v>44121</v>
      </c>
      <c r="H661" s="10">
        <f t="shared" ca="1" si="43"/>
        <v>1.9937483785700236E-2</v>
      </c>
    </row>
    <row r="662" spans="2:8" hidden="1" x14ac:dyDescent="0.2">
      <c r="B662" s="8">
        <v>44122</v>
      </c>
      <c r="C662" s="9">
        <f t="shared" ca="1" si="40"/>
        <v>10161.023735277264</v>
      </c>
      <c r="D662" s="9">
        <f t="shared" ca="1" si="41"/>
        <v>17117.030477050572</v>
      </c>
      <c r="E662" s="10">
        <f t="shared" ca="1" si="42"/>
        <v>0.11002793162056138</v>
      </c>
      <c r="G662" s="8">
        <v>44122</v>
      </c>
      <c r="H662" s="10">
        <f t="shared" ca="1" si="43"/>
        <v>6.546734005083947E-2</v>
      </c>
    </row>
    <row r="663" spans="2:8" hidden="1" x14ac:dyDescent="0.2">
      <c r="B663" s="8">
        <v>44123</v>
      </c>
      <c r="C663" s="9">
        <f t="shared" ca="1" si="40"/>
        <v>15335.267805143347</v>
      </c>
      <c r="D663" s="9">
        <f t="shared" ca="1" si="41"/>
        <v>12667.339680714624</v>
      </c>
      <c r="E663" s="10">
        <f t="shared" ca="1" si="42"/>
        <v>0.23625879525925642</v>
      </c>
      <c r="G663" s="8">
        <v>44123</v>
      </c>
      <c r="H663" s="10">
        <f t="shared" ca="1" si="43"/>
        <v>1.6145462483934694E-2</v>
      </c>
    </row>
    <row r="664" spans="2:8" hidden="1" x14ac:dyDescent="0.2">
      <c r="B664" s="8">
        <v>44124</v>
      </c>
      <c r="C664" s="9">
        <f t="shared" ca="1" si="40"/>
        <v>12395.188108473161</v>
      </c>
      <c r="D664" s="9">
        <f t="shared" ca="1" si="41"/>
        <v>15875.376326631727</v>
      </c>
      <c r="E664" s="10">
        <f t="shared" ca="1" si="42"/>
        <v>0.24601928871607068</v>
      </c>
      <c r="G664" s="8">
        <v>44124</v>
      </c>
      <c r="H664" s="10">
        <f t="shared" ca="1" si="43"/>
        <v>2.7351084210611901E-2</v>
      </c>
    </row>
    <row r="665" spans="2:8" hidden="1" x14ac:dyDescent="0.2">
      <c r="B665" s="8">
        <v>44125</v>
      </c>
      <c r="C665" s="9">
        <f t="shared" ca="1" si="40"/>
        <v>16652.438792807196</v>
      </c>
      <c r="D665" s="9">
        <f t="shared" ca="1" si="41"/>
        <v>10610.841262426322</v>
      </c>
      <c r="E665" s="10">
        <f t="shared" ca="1" si="42"/>
        <v>0.29722106621681016</v>
      </c>
      <c r="G665" s="8">
        <v>44125</v>
      </c>
      <c r="H665" s="10">
        <f t="shared" ca="1" si="43"/>
        <v>6.6863101221322488E-3</v>
      </c>
    </row>
    <row r="666" spans="2:8" hidden="1" x14ac:dyDescent="0.2">
      <c r="B666" s="8">
        <v>44126</v>
      </c>
      <c r="C666" s="9">
        <f t="shared" ca="1" si="40"/>
        <v>16327.307231637566</v>
      </c>
      <c r="D666" s="9">
        <f t="shared" ca="1" si="41"/>
        <v>13637.588646298944</v>
      </c>
      <c r="E666" s="10">
        <f t="shared" ca="1" si="42"/>
        <v>0.16335628330557686</v>
      </c>
      <c r="G666" s="8">
        <v>44126</v>
      </c>
      <c r="H666" s="10">
        <f t="shared" ca="1" si="43"/>
        <v>1.5488011402656328E-2</v>
      </c>
    </row>
    <row r="667" spans="2:8" hidden="1" x14ac:dyDescent="0.2">
      <c r="B667" s="8">
        <v>44127</v>
      </c>
      <c r="C667" s="9">
        <f t="shared" ca="1" si="40"/>
        <v>11894.221982128953</v>
      </c>
      <c r="D667" s="9">
        <f t="shared" ca="1" si="41"/>
        <v>13781.763686011196</v>
      </c>
      <c r="E667" s="10">
        <f t="shared" ca="1" si="42"/>
        <v>0.12362463170038017</v>
      </c>
      <c r="G667" s="8">
        <v>44127</v>
      </c>
      <c r="H667" s="10">
        <f t="shared" ca="1" si="43"/>
        <v>6.915809306701691E-2</v>
      </c>
    </row>
    <row r="668" spans="2:8" hidden="1" x14ac:dyDescent="0.2">
      <c r="B668" s="8">
        <v>44128</v>
      </c>
      <c r="C668" s="9">
        <f t="shared" ca="1" si="40"/>
        <v>12247.970021357422</v>
      </c>
      <c r="D668" s="9">
        <f t="shared" ca="1" si="41"/>
        <v>13779.942310305394</v>
      </c>
      <c r="E668" s="10">
        <f t="shared" ca="1" si="42"/>
        <v>5.7123801664074714E-2</v>
      </c>
      <c r="G668" s="8">
        <v>44128</v>
      </c>
      <c r="H668" s="10">
        <f t="shared" ca="1" si="43"/>
        <v>4.2587134454664131E-2</v>
      </c>
    </row>
    <row r="669" spans="2:8" hidden="1" x14ac:dyDescent="0.2">
      <c r="B669" s="8">
        <v>44129</v>
      </c>
      <c r="C669" s="9">
        <f t="shared" ca="1" si="40"/>
        <v>17434.382411962288</v>
      </c>
      <c r="D669" s="9">
        <f t="shared" ca="1" si="41"/>
        <v>13798.155160532113</v>
      </c>
      <c r="E669" s="10">
        <f t="shared" ca="1" si="42"/>
        <v>0.13465471610691146</v>
      </c>
      <c r="G669" s="8">
        <v>44129</v>
      </c>
      <c r="H669" s="10">
        <f t="shared" ca="1" si="43"/>
        <v>4.7242459823495656E-3</v>
      </c>
    </row>
    <row r="670" spans="2:8" hidden="1" x14ac:dyDescent="0.2">
      <c r="B670" s="8">
        <v>44130</v>
      </c>
      <c r="C670" s="9">
        <f t="shared" ca="1" si="40"/>
        <v>16495.635855446555</v>
      </c>
      <c r="D670" s="9">
        <f t="shared" ca="1" si="41"/>
        <v>17025.930596221646</v>
      </c>
      <c r="E670" s="10">
        <f t="shared" ca="1" si="42"/>
        <v>0.25356563781432001</v>
      </c>
      <c r="G670" s="8">
        <v>44130</v>
      </c>
      <c r="H670" s="10">
        <f t="shared" ca="1" si="43"/>
        <v>2.2576414299285943E-2</v>
      </c>
    </row>
    <row r="671" spans="2:8" hidden="1" x14ac:dyDescent="0.2">
      <c r="B671" s="8">
        <v>44131</v>
      </c>
      <c r="C671" s="9">
        <f t="shared" ca="1" si="40"/>
        <v>11915.997361003503</v>
      </c>
      <c r="D671" s="9">
        <f t="shared" ca="1" si="41"/>
        <v>16159.068316833871</v>
      </c>
      <c r="E671" s="10">
        <f t="shared" ca="1" si="42"/>
        <v>0.17991390266121279</v>
      </c>
      <c r="G671" s="8">
        <v>44131</v>
      </c>
      <c r="H671" s="10">
        <f t="shared" ca="1" si="43"/>
        <v>5.6021228076379534E-2</v>
      </c>
    </row>
    <row r="672" spans="2:8" hidden="1" x14ac:dyDescent="0.2">
      <c r="B672" s="8">
        <v>44132</v>
      </c>
      <c r="C672" s="9">
        <f t="shared" ca="1" si="40"/>
        <v>17673.399968231355</v>
      </c>
      <c r="D672" s="9">
        <f t="shared" ca="1" si="41"/>
        <v>14458.619580992172</v>
      </c>
      <c r="E672" s="10">
        <f t="shared" ca="1" si="42"/>
        <v>0.25568694594315333</v>
      </c>
      <c r="G672" s="8">
        <v>44132</v>
      </c>
      <c r="H672" s="10">
        <f t="shared" ca="1" si="43"/>
        <v>3.3751625889658729E-2</v>
      </c>
    </row>
    <row r="673" spans="2:8" hidden="1" x14ac:dyDescent="0.2">
      <c r="B673" s="8">
        <v>44133</v>
      </c>
      <c r="C673" s="9">
        <f t="shared" ca="1" si="40"/>
        <v>14892.584050081856</v>
      </c>
      <c r="D673" s="9">
        <f t="shared" ca="1" si="41"/>
        <v>16999.398737731193</v>
      </c>
      <c r="E673" s="10">
        <f t="shared" ca="1" si="42"/>
        <v>0.22692739415096874</v>
      </c>
      <c r="G673" s="8">
        <v>44133</v>
      </c>
      <c r="H673" s="10">
        <f t="shared" ca="1" si="43"/>
        <v>2.2571114944436442E-2</v>
      </c>
    </row>
    <row r="674" spans="2:8" hidden="1" x14ac:dyDescent="0.2">
      <c r="B674" s="8">
        <v>44134</v>
      </c>
      <c r="C674" s="9">
        <f t="shared" ca="1" si="40"/>
        <v>15261.529898162669</v>
      </c>
      <c r="D674" s="9">
        <f t="shared" ca="1" si="41"/>
        <v>13545.971872084003</v>
      </c>
      <c r="E674" s="10">
        <f t="shared" ca="1" si="42"/>
        <v>5.5164567050199176E-2</v>
      </c>
      <c r="G674" s="8">
        <v>44134</v>
      </c>
      <c r="H674" s="10">
        <f t="shared" ca="1" si="43"/>
        <v>2.7728231016578272E-2</v>
      </c>
    </row>
    <row r="675" spans="2:8" hidden="1" x14ac:dyDescent="0.2">
      <c r="B675" s="8">
        <v>44135</v>
      </c>
      <c r="C675" s="9">
        <f t="shared" ca="1" si="40"/>
        <v>11291.274835663822</v>
      </c>
      <c r="D675" s="9">
        <f t="shared" ca="1" si="41"/>
        <v>11744.66848777081</v>
      </c>
      <c r="E675" s="10">
        <f t="shared" ca="1" si="42"/>
        <v>0.17773398533444504</v>
      </c>
      <c r="G675" s="8">
        <v>44135</v>
      </c>
      <c r="H675" s="10">
        <f t="shared" ca="1" si="43"/>
        <v>5.3668450929108637E-2</v>
      </c>
    </row>
    <row r="676" spans="2:8" hidden="1" x14ac:dyDescent="0.2">
      <c r="B676" s="8">
        <v>44136</v>
      </c>
      <c r="C676" s="9">
        <f t="shared" ca="1" si="40"/>
        <v>12910.789919660227</v>
      </c>
      <c r="D676" s="9">
        <f t="shared" ca="1" si="41"/>
        <v>16447.779023039311</v>
      </c>
      <c r="E676" s="10">
        <f t="shared" ca="1" si="42"/>
        <v>6.4619384598435095E-2</v>
      </c>
      <c r="G676" s="8">
        <v>44136</v>
      </c>
      <c r="H676" s="10">
        <f t="shared" ca="1" si="43"/>
        <v>2.2427172203245228E-2</v>
      </c>
    </row>
    <row r="677" spans="2:8" hidden="1" x14ac:dyDescent="0.2">
      <c r="B677" s="8">
        <v>44137</v>
      </c>
      <c r="C677" s="9">
        <f t="shared" ca="1" si="40"/>
        <v>13195.341572132249</v>
      </c>
      <c r="D677" s="9">
        <f t="shared" ca="1" si="41"/>
        <v>15848.730592546293</v>
      </c>
      <c r="E677" s="10">
        <f t="shared" ca="1" si="42"/>
        <v>0.27223876064461461</v>
      </c>
      <c r="G677" s="8">
        <v>44137</v>
      </c>
      <c r="H677" s="10">
        <f t="shared" ca="1" si="43"/>
        <v>6.4437828302207706E-2</v>
      </c>
    </row>
    <row r="678" spans="2:8" hidden="1" x14ac:dyDescent="0.2">
      <c r="B678" s="8">
        <v>44138</v>
      </c>
      <c r="C678" s="9">
        <f t="shared" ca="1" si="40"/>
        <v>16707.446056328103</v>
      </c>
      <c r="D678" s="9">
        <f t="shared" ca="1" si="41"/>
        <v>14628.665559351819</v>
      </c>
      <c r="E678" s="10">
        <f t="shared" ca="1" si="42"/>
        <v>0.10640119387771492</v>
      </c>
      <c r="G678" s="8">
        <v>44138</v>
      </c>
      <c r="H678" s="10">
        <f t="shared" ca="1" si="43"/>
        <v>2.5137932491265381E-2</v>
      </c>
    </row>
    <row r="679" spans="2:8" hidden="1" x14ac:dyDescent="0.2">
      <c r="B679" s="8">
        <v>44139</v>
      </c>
      <c r="C679" s="9">
        <f t="shared" ca="1" si="40"/>
        <v>17003.47764362915</v>
      </c>
      <c r="D679" s="9">
        <f t="shared" ca="1" si="41"/>
        <v>12696.494759725927</v>
      </c>
      <c r="E679" s="10">
        <f t="shared" ca="1" si="42"/>
        <v>4.1881002817227141E-2</v>
      </c>
      <c r="G679" s="8">
        <v>44139</v>
      </c>
      <c r="H679" s="10">
        <f t="shared" ca="1" si="43"/>
        <v>2.1238628777136025E-2</v>
      </c>
    </row>
    <row r="680" spans="2:8" hidden="1" x14ac:dyDescent="0.2">
      <c r="B680" s="8">
        <v>44140</v>
      </c>
      <c r="C680" s="9">
        <f t="shared" ca="1" si="40"/>
        <v>11781.682791849116</v>
      </c>
      <c r="D680" s="9">
        <f t="shared" ca="1" si="41"/>
        <v>16823.011413110758</v>
      </c>
      <c r="E680" s="10">
        <f t="shared" ca="1" si="42"/>
        <v>0.1192590460737457</v>
      </c>
      <c r="G680" s="8">
        <v>44140</v>
      </c>
      <c r="H680" s="10">
        <f t="shared" ca="1" si="43"/>
        <v>3.1447731304482369E-2</v>
      </c>
    </row>
    <row r="681" spans="2:8" hidden="1" x14ac:dyDescent="0.2">
      <c r="B681" s="8">
        <v>44141</v>
      </c>
      <c r="C681" s="9">
        <f t="shared" ca="1" si="40"/>
        <v>13921.39302713482</v>
      </c>
      <c r="D681" s="9">
        <f t="shared" ca="1" si="41"/>
        <v>10810.678698177953</v>
      </c>
      <c r="E681" s="10">
        <f t="shared" ca="1" si="42"/>
        <v>0.26343299750319599</v>
      </c>
      <c r="G681" s="8">
        <v>44141</v>
      </c>
      <c r="H681" s="10">
        <f t="shared" ca="1" si="43"/>
        <v>1.7744878082547044E-2</v>
      </c>
    </row>
    <row r="682" spans="2:8" hidden="1" x14ac:dyDescent="0.2">
      <c r="B682" s="8">
        <v>44142</v>
      </c>
      <c r="C682" s="9">
        <f t="shared" ca="1" si="40"/>
        <v>10874.729315542283</v>
      </c>
      <c r="D682" s="9">
        <f t="shared" ca="1" si="41"/>
        <v>12606.799314253078</v>
      </c>
      <c r="E682" s="10">
        <f t="shared" ca="1" si="42"/>
        <v>0.25187463184836745</v>
      </c>
      <c r="G682" s="8">
        <v>44142</v>
      </c>
      <c r="H682" s="10">
        <f t="shared" ca="1" si="43"/>
        <v>1.3347011834909462E-2</v>
      </c>
    </row>
    <row r="683" spans="2:8" hidden="1" x14ac:dyDescent="0.2">
      <c r="B683" s="8">
        <v>44143</v>
      </c>
      <c r="C683" s="9">
        <f t="shared" ca="1" si="40"/>
        <v>17241.765075011877</v>
      </c>
      <c r="D683" s="9">
        <f t="shared" ca="1" si="41"/>
        <v>13850.219275943793</v>
      </c>
      <c r="E683" s="10">
        <f t="shared" ca="1" si="42"/>
        <v>0.25424723470503202</v>
      </c>
      <c r="G683" s="8">
        <v>44143</v>
      </c>
      <c r="H683" s="10">
        <f t="shared" ca="1" si="43"/>
        <v>3.3712284612065727E-2</v>
      </c>
    </row>
    <row r="684" spans="2:8" hidden="1" x14ac:dyDescent="0.2">
      <c r="B684" s="8">
        <v>44144</v>
      </c>
      <c r="C684" s="9">
        <f t="shared" ca="1" si="40"/>
        <v>12330.545658819188</v>
      </c>
      <c r="D684" s="9">
        <f t="shared" ca="1" si="41"/>
        <v>12271.947055833189</v>
      </c>
      <c r="E684" s="10">
        <f t="shared" ca="1" si="42"/>
        <v>5.8574251242644523E-2</v>
      </c>
      <c r="G684" s="8">
        <v>44144</v>
      </c>
      <c r="H684" s="10">
        <f t="shared" ca="1" si="43"/>
        <v>3.8448177107635019E-2</v>
      </c>
    </row>
    <row r="685" spans="2:8" hidden="1" x14ac:dyDescent="0.2">
      <c r="B685" s="8">
        <v>44145</v>
      </c>
      <c r="C685" s="9">
        <f t="shared" ca="1" si="40"/>
        <v>16164.840693563689</v>
      </c>
      <c r="D685" s="9">
        <f t="shared" ca="1" si="41"/>
        <v>14354.789529520638</v>
      </c>
      <c r="E685" s="10">
        <f t="shared" ca="1" si="42"/>
        <v>0.27634410750369776</v>
      </c>
      <c r="G685" s="8">
        <v>44145</v>
      </c>
      <c r="H685" s="10">
        <f t="shared" ca="1" si="43"/>
        <v>2.8749399204519417E-2</v>
      </c>
    </row>
    <row r="686" spans="2:8" hidden="1" x14ac:dyDescent="0.2">
      <c r="B686" s="8">
        <v>44146</v>
      </c>
      <c r="C686" s="9">
        <f t="shared" ca="1" si="40"/>
        <v>13959.752986321939</v>
      </c>
      <c r="D686" s="9">
        <f t="shared" ca="1" si="41"/>
        <v>11826.995405122565</v>
      </c>
      <c r="E686" s="10">
        <f t="shared" ca="1" si="42"/>
        <v>6.4431342211805326E-2</v>
      </c>
      <c r="G686" s="8">
        <v>44146</v>
      </c>
      <c r="H686" s="10">
        <f t="shared" ca="1" si="43"/>
        <v>2.6225913966013446E-2</v>
      </c>
    </row>
    <row r="687" spans="2:8" hidden="1" x14ac:dyDescent="0.2">
      <c r="B687" s="8">
        <v>44147</v>
      </c>
      <c r="C687" s="9">
        <f t="shared" ca="1" si="40"/>
        <v>13804.432868733544</v>
      </c>
      <c r="D687" s="9">
        <f t="shared" ca="1" si="41"/>
        <v>10338.302908944364</v>
      </c>
      <c r="E687" s="10">
        <f t="shared" ca="1" si="42"/>
        <v>0.18641374144526479</v>
      </c>
      <c r="G687" s="8">
        <v>44147</v>
      </c>
      <c r="H687" s="10">
        <f t="shared" ca="1" si="43"/>
        <v>6.8696023984573806E-2</v>
      </c>
    </row>
    <row r="688" spans="2:8" hidden="1" x14ac:dyDescent="0.2">
      <c r="B688" s="8">
        <v>44148</v>
      </c>
      <c r="C688" s="9">
        <f t="shared" ca="1" si="40"/>
        <v>10023.014025462135</v>
      </c>
      <c r="D688" s="9">
        <f t="shared" ca="1" si="41"/>
        <v>13625.980716097121</v>
      </c>
      <c r="E688" s="10">
        <f t="shared" ca="1" si="42"/>
        <v>0.18348878527588849</v>
      </c>
      <c r="G688" s="8">
        <v>44148</v>
      </c>
      <c r="H688" s="10">
        <f t="shared" ca="1" si="43"/>
        <v>4.8551706660768953E-2</v>
      </c>
    </row>
    <row r="689" spans="2:8" hidden="1" x14ac:dyDescent="0.2">
      <c r="B689" s="8">
        <v>44149</v>
      </c>
      <c r="C689" s="9">
        <f t="shared" ca="1" si="40"/>
        <v>13623.781387357771</v>
      </c>
      <c r="D689" s="9">
        <f t="shared" ca="1" si="41"/>
        <v>11981.275376114716</v>
      </c>
      <c r="E689" s="10">
        <f t="shared" ca="1" si="42"/>
        <v>0.21182408523146889</v>
      </c>
      <c r="G689" s="8">
        <v>44149</v>
      </c>
      <c r="H689" s="10">
        <f t="shared" ca="1" si="43"/>
        <v>6.9217987257300981E-2</v>
      </c>
    </row>
    <row r="690" spans="2:8" hidden="1" x14ac:dyDescent="0.2">
      <c r="B690" s="8">
        <v>44150</v>
      </c>
      <c r="C690" s="9">
        <f t="shared" ca="1" si="40"/>
        <v>13958.329164669416</v>
      </c>
      <c r="D690" s="9">
        <f t="shared" ca="1" si="41"/>
        <v>14385.946356281453</v>
      </c>
      <c r="E690" s="10">
        <f t="shared" ca="1" si="42"/>
        <v>0.15049086612918502</v>
      </c>
      <c r="G690" s="8">
        <v>44150</v>
      </c>
      <c r="H690" s="10">
        <f t="shared" ca="1" si="43"/>
        <v>3.430835559070497E-2</v>
      </c>
    </row>
    <row r="691" spans="2:8" hidden="1" x14ac:dyDescent="0.2">
      <c r="B691" s="8">
        <v>44151</v>
      </c>
      <c r="C691" s="9">
        <f t="shared" ca="1" si="40"/>
        <v>17837.246071995971</v>
      </c>
      <c r="D691" s="9">
        <f t="shared" ca="1" si="41"/>
        <v>16624.106163140979</v>
      </c>
      <c r="E691" s="10">
        <f t="shared" ca="1" si="42"/>
        <v>0.1292423568962007</v>
      </c>
      <c r="G691" s="8">
        <v>44151</v>
      </c>
      <c r="H691" s="10">
        <f t="shared" ca="1" si="43"/>
        <v>6.7045258366834948E-2</v>
      </c>
    </row>
    <row r="692" spans="2:8" hidden="1" x14ac:dyDescent="0.2">
      <c r="B692" s="8">
        <v>44152</v>
      </c>
      <c r="C692" s="9">
        <f t="shared" ca="1" si="40"/>
        <v>12556.42002766003</v>
      </c>
      <c r="D692" s="9">
        <f t="shared" ca="1" si="41"/>
        <v>17462.891398185722</v>
      </c>
      <c r="E692" s="10">
        <f t="shared" ca="1" si="42"/>
        <v>0.20774851069625497</v>
      </c>
      <c r="G692" s="8">
        <v>44152</v>
      </c>
      <c r="H692" s="10">
        <f t="shared" ca="1" si="43"/>
        <v>4.689214230712991E-4</v>
      </c>
    </row>
    <row r="693" spans="2:8" hidden="1" x14ac:dyDescent="0.2">
      <c r="B693" s="8">
        <v>44153</v>
      </c>
      <c r="C693" s="9">
        <f t="shared" ca="1" si="40"/>
        <v>14718.735483918983</v>
      </c>
      <c r="D693" s="9">
        <f t="shared" ca="1" si="41"/>
        <v>11547.793069833653</v>
      </c>
      <c r="E693" s="10">
        <f t="shared" ca="1" si="42"/>
        <v>6.0116108412483105E-2</v>
      </c>
      <c r="G693" s="8">
        <v>44153</v>
      </c>
      <c r="H693" s="10">
        <f t="shared" ca="1" si="43"/>
        <v>1.5896270586748449E-2</v>
      </c>
    </row>
    <row r="694" spans="2:8" hidden="1" x14ac:dyDescent="0.2">
      <c r="B694" s="8">
        <v>44154</v>
      </c>
      <c r="C694" s="9">
        <f t="shared" ca="1" si="40"/>
        <v>16085.845882588826</v>
      </c>
      <c r="D694" s="9">
        <f t="shared" ca="1" si="41"/>
        <v>11071.582105927013</v>
      </c>
      <c r="E694" s="10">
        <f t="shared" ca="1" si="42"/>
        <v>0.16195589522207529</v>
      </c>
      <c r="G694" s="8">
        <v>44154</v>
      </c>
      <c r="H694" s="10">
        <f t="shared" ca="1" si="43"/>
        <v>5.8015158738642124E-2</v>
      </c>
    </row>
    <row r="695" spans="2:8" hidden="1" x14ac:dyDescent="0.2">
      <c r="B695" s="8">
        <v>44155</v>
      </c>
      <c r="C695" s="9">
        <f t="shared" ca="1" si="40"/>
        <v>15785.11876412647</v>
      </c>
      <c r="D695" s="9">
        <f t="shared" ca="1" si="41"/>
        <v>11750.218283977394</v>
      </c>
      <c r="E695" s="10">
        <f t="shared" ca="1" si="42"/>
        <v>0.1058381927743224</v>
      </c>
      <c r="G695" s="8">
        <v>44155</v>
      </c>
      <c r="H695" s="10">
        <f t="shared" ca="1" si="43"/>
        <v>6.389113396915079E-2</v>
      </c>
    </row>
    <row r="696" spans="2:8" hidden="1" x14ac:dyDescent="0.2">
      <c r="B696" s="8">
        <v>44156</v>
      </c>
      <c r="C696" s="9">
        <f t="shared" ca="1" si="40"/>
        <v>17105.294503864225</v>
      </c>
      <c r="D696" s="9">
        <f t="shared" ca="1" si="41"/>
        <v>15709.708303228887</v>
      </c>
      <c r="E696" s="10">
        <f t="shared" ca="1" si="42"/>
        <v>0.20710236218742101</v>
      </c>
      <c r="G696" s="8">
        <v>44156</v>
      </c>
      <c r="H696" s="10">
        <f t="shared" ca="1" si="43"/>
        <v>5.0133622702721301E-2</v>
      </c>
    </row>
    <row r="697" spans="2:8" hidden="1" x14ac:dyDescent="0.2">
      <c r="B697" s="8">
        <v>44157</v>
      </c>
      <c r="C697" s="9">
        <f t="shared" ca="1" si="40"/>
        <v>16193.842599422944</v>
      </c>
      <c r="D697" s="9">
        <f t="shared" ca="1" si="41"/>
        <v>11151.528670713837</v>
      </c>
      <c r="E697" s="10">
        <f t="shared" ca="1" si="42"/>
        <v>8.9374222101031575E-2</v>
      </c>
      <c r="G697" s="8">
        <v>44157</v>
      </c>
      <c r="H697" s="10">
        <f t="shared" ca="1" si="43"/>
        <v>2.087193312735484E-3</v>
      </c>
    </row>
    <row r="698" spans="2:8" hidden="1" x14ac:dyDescent="0.2">
      <c r="B698" s="8">
        <v>44158</v>
      </c>
      <c r="C698" s="9">
        <f t="shared" ca="1" si="40"/>
        <v>13326.611210586316</v>
      </c>
      <c r="D698" s="9">
        <f t="shared" ca="1" si="41"/>
        <v>10813.210634921394</v>
      </c>
      <c r="E698" s="10">
        <f t="shared" ca="1" si="42"/>
        <v>0.19920026341717617</v>
      </c>
      <c r="G698" s="8">
        <v>44158</v>
      </c>
      <c r="H698" s="10">
        <f t="shared" ca="1" si="43"/>
        <v>5.9090910580556211E-2</v>
      </c>
    </row>
    <row r="699" spans="2:8" hidden="1" x14ac:dyDescent="0.2">
      <c r="B699" s="8">
        <v>44159</v>
      </c>
      <c r="C699" s="9">
        <f t="shared" ca="1" si="40"/>
        <v>14767.904632308113</v>
      </c>
      <c r="D699" s="9">
        <f t="shared" ca="1" si="41"/>
        <v>11352.378084626267</v>
      </c>
      <c r="E699" s="10">
        <f t="shared" ca="1" si="42"/>
        <v>2.7725330672993296E-2</v>
      </c>
      <c r="G699" s="8">
        <v>44159</v>
      </c>
      <c r="H699" s="10">
        <f t="shared" ca="1" si="43"/>
        <v>3.7243782073585675E-2</v>
      </c>
    </row>
    <row r="700" spans="2:8" hidden="1" x14ac:dyDescent="0.2">
      <c r="B700" s="8">
        <v>44160</v>
      </c>
      <c r="C700" s="9">
        <f t="shared" ca="1" si="40"/>
        <v>15391.457852314974</v>
      </c>
      <c r="D700" s="9">
        <f t="shared" ca="1" si="41"/>
        <v>14056.406631218701</v>
      </c>
      <c r="E700" s="10">
        <f t="shared" ca="1" si="42"/>
        <v>0.19928053944315074</v>
      </c>
      <c r="G700" s="8">
        <v>44160</v>
      </c>
      <c r="H700" s="10">
        <f t="shared" ca="1" si="43"/>
        <v>3.0624680898795054E-2</v>
      </c>
    </row>
    <row r="701" spans="2:8" hidden="1" x14ac:dyDescent="0.2">
      <c r="B701" s="8">
        <v>44161</v>
      </c>
      <c r="C701" s="9">
        <f t="shared" ca="1" si="40"/>
        <v>12201.130211075029</v>
      </c>
      <c r="D701" s="9">
        <f t="shared" ca="1" si="41"/>
        <v>12284.680728916646</v>
      </c>
      <c r="E701" s="10">
        <f t="shared" ca="1" si="42"/>
        <v>1.5557746035364016E-2</v>
      </c>
      <c r="G701" s="8">
        <v>44161</v>
      </c>
      <c r="H701" s="10">
        <f t="shared" ca="1" si="43"/>
        <v>5.5998202066643021E-2</v>
      </c>
    </row>
    <row r="702" spans="2:8" hidden="1" x14ac:dyDescent="0.2">
      <c r="B702" s="8">
        <v>44162</v>
      </c>
      <c r="C702" s="9">
        <f t="shared" ca="1" si="40"/>
        <v>13132.473849009824</v>
      </c>
      <c r="D702" s="9">
        <f t="shared" ca="1" si="41"/>
        <v>13079.443187972125</v>
      </c>
      <c r="E702" s="10">
        <f t="shared" ca="1" si="42"/>
        <v>2.7937637813754378E-2</v>
      </c>
      <c r="G702" s="8">
        <v>44162</v>
      </c>
      <c r="H702" s="10">
        <f t="shared" ca="1" si="43"/>
        <v>2.8465802686222508E-2</v>
      </c>
    </row>
    <row r="703" spans="2:8" hidden="1" x14ac:dyDescent="0.2">
      <c r="B703" s="8">
        <v>44163</v>
      </c>
      <c r="C703" s="9">
        <f t="shared" ca="1" si="40"/>
        <v>12094.731489989768</v>
      </c>
      <c r="D703" s="9">
        <f t="shared" ca="1" si="41"/>
        <v>11239.869213457181</v>
      </c>
      <c r="E703" s="10">
        <f t="shared" ca="1" si="42"/>
        <v>0.25221645519313873</v>
      </c>
      <c r="G703" s="8">
        <v>44163</v>
      </c>
      <c r="H703" s="10">
        <f t="shared" ca="1" si="43"/>
        <v>5.6288447061176868E-2</v>
      </c>
    </row>
    <row r="704" spans="2:8" hidden="1" x14ac:dyDescent="0.2">
      <c r="B704" s="8">
        <v>44164</v>
      </c>
      <c r="C704" s="9">
        <f t="shared" ca="1" si="40"/>
        <v>11605.095919051339</v>
      </c>
      <c r="D704" s="9">
        <f t="shared" ca="1" si="41"/>
        <v>10761.240168834933</v>
      </c>
      <c r="E704" s="10">
        <f t="shared" ca="1" si="42"/>
        <v>1.3731713768106446E-2</v>
      </c>
      <c r="G704" s="8">
        <v>44164</v>
      </c>
      <c r="H704" s="10">
        <f t="shared" ca="1" si="43"/>
        <v>6.5695915946119773E-2</v>
      </c>
    </row>
    <row r="705" spans="2:8" hidden="1" x14ac:dyDescent="0.2">
      <c r="B705" s="8">
        <v>44165</v>
      </c>
      <c r="C705" s="9">
        <f t="shared" ca="1" si="40"/>
        <v>13849.693350682443</v>
      </c>
      <c r="D705" s="9">
        <f t="shared" ca="1" si="41"/>
        <v>13597.812738758334</v>
      </c>
      <c r="E705" s="10">
        <f t="shared" ca="1" si="42"/>
        <v>0.29108269065509379</v>
      </c>
      <c r="G705" s="8">
        <v>44165</v>
      </c>
      <c r="H705" s="10">
        <f t="shared" ca="1" si="43"/>
        <v>2.5528717223983713E-2</v>
      </c>
    </row>
    <row r="706" spans="2:8" hidden="1" x14ac:dyDescent="0.2">
      <c r="B706" s="8">
        <v>44166</v>
      </c>
      <c r="C706" s="9">
        <f t="shared" ca="1" si="40"/>
        <v>17611.296389915755</v>
      </c>
      <c r="D706" s="9">
        <f t="shared" ca="1" si="41"/>
        <v>15802.993801344146</v>
      </c>
      <c r="E706" s="10">
        <f t="shared" ca="1" si="42"/>
        <v>0.12060511589179906</v>
      </c>
      <c r="G706" s="8">
        <v>44166</v>
      </c>
      <c r="H706" s="10">
        <f t="shared" ca="1" si="43"/>
        <v>1.2127893024549698E-2</v>
      </c>
    </row>
    <row r="707" spans="2:8" hidden="1" x14ac:dyDescent="0.2">
      <c r="B707" s="8">
        <v>44167</v>
      </c>
      <c r="C707" s="9">
        <f t="shared" ca="1" si="40"/>
        <v>11169.250708650357</v>
      </c>
      <c r="D707" s="9">
        <f t="shared" ca="1" si="41"/>
        <v>15671.544461289574</v>
      </c>
      <c r="E707" s="10">
        <f t="shared" ca="1" si="42"/>
        <v>0.12748864453595221</v>
      </c>
      <c r="G707" s="8">
        <v>44167</v>
      </c>
      <c r="H707" s="10">
        <f t="shared" ca="1" si="43"/>
        <v>6.0501158771437649E-2</v>
      </c>
    </row>
    <row r="708" spans="2:8" hidden="1" x14ac:dyDescent="0.2">
      <c r="B708" s="8">
        <v>44168</v>
      </c>
      <c r="C708" s="9">
        <f t="shared" ca="1" si="40"/>
        <v>14725.930188689741</v>
      </c>
      <c r="D708" s="9">
        <f t="shared" ca="1" si="41"/>
        <v>13575.114626932009</v>
      </c>
      <c r="E708" s="10">
        <f t="shared" ca="1" si="42"/>
        <v>7.7836169627702914E-2</v>
      </c>
      <c r="G708" s="8">
        <v>44168</v>
      </c>
      <c r="H708" s="10">
        <f t="shared" ca="1" si="43"/>
        <v>4.5120588414557058E-2</v>
      </c>
    </row>
    <row r="709" spans="2:8" hidden="1" x14ac:dyDescent="0.2">
      <c r="B709" s="8">
        <v>44169</v>
      </c>
      <c r="C709" s="9">
        <f t="shared" ca="1" si="40"/>
        <v>13578.999663314939</v>
      </c>
      <c r="D709" s="9">
        <f t="shared" ca="1" si="41"/>
        <v>14753.333771378298</v>
      </c>
      <c r="E709" s="10">
        <f t="shared" ca="1" si="42"/>
        <v>9.3632581678954663E-2</v>
      </c>
      <c r="G709" s="8">
        <v>44169</v>
      </c>
      <c r="H709" s="10">
        <f t="shared" ca="1" si="43"/>
        <v>3.8808922005098369E-2</v>
      </c>
    </row>
    <row r="710" spans="2:8" hidden="1" x14ac:dyDescent="0.2">
      <c r="B710" s="8">
        <v>44170</v>
      </c>
      <c r="C710" s="9">
        <f t="shared" ca="1" si="40"/>
        <v>14354.387891206028</v>
      </c>
      <c r="D710" s="9">
        <f t="shared" ca="1" si="41"/>
        <v>12680.903411309879</v>
      </c>
      <c r="E710" s="10">
        <f t="shared" ca="1" si="42"/>
        <v>0.10252169964434346</v>
      </c>
      <c r="G710" s="8">
        <v>44170</v>
      </c>
      <c r="H710" s="10">
        <f t="shared" ca="1" si="43"/>
        <v>2.595062742299651E-3</v>
      </c>
    </row>
    <row r="711" spans="2:8" hidden="1" x14ac:dyDescent="0.2">
      <c r="B711" s="8">
        <v>44171</v>
      </c>
      <c r="C711" s="9">
        <f t="shared" ref="C711:C774" ca="1" si="44">RAND()*(18000-10000)+10000</f>
        <v>15365.040685618103</v>
      </c>
      <c r="D711" s="9">
        <f t="shared" ref="D711:D774" ca="1" si="45">RAND()*(18000-10000)+10000</f>
        <v>15412.429393395812</v>
      </c>
      <c r="E711" s="10">
        <f t="shared" ref="E711:E774" ca="1" si="46">RAND()*(30%-0%)+0%</f>
        <v>0.2843092638353516</v>
      </c>
      <c r="G711" s="8">
        <v>44171</v>
      </c>
      <c r="H711" s="10">
        <f t="shared" ref="H711:H774" ca="1" si="47">RAND()*(7%-0%)+0%</f>
        <v>4.9509673820601251E-2</v>
      </c>
    </row>
    <row r="712" spans="2:8" hidden="1" x14ac:dyDescent="0.2">
      <c r="B712" s="8">
        <v>44172</v>
      </c>
      <c r="C712" s="9">
        <f t="shared" ca="1" si="44"/>
        <v>17425.047539148058</v>
      </c>
      <c r="D712" s="9">
        <f t="shared" ca="1" si="45"/>
        <v>14745.087880561055</v>
      </c>
      <c r="E712" s="10">
        <f t="shared" ca="1" si="46"/>
        <v>0.19372314956895262</v>
      </c>
      <c r="G712" s="8">
        <v>44172</v>
      </c>
      <c r="H712" s="10">
        <f t="shared" ca="1" si="47"/>
        <v>3.9506019704827131E-2</v>
      </c>
    </row>
    <row r="713" spans="2:8" hidden="1" x14ac:dyDescent="0.2">
      <c r="B713" s="8">
        <v>44173</v>
      </c>
      <c r="C713" s="9">
        <f t="shared" ca="1" si="44"/>
        <v>12645.098862407569</v>
      </c>
      <c r="D713" s="9">
        <f t="shared" ca="1" si="45"/>
        <v>15218.925590915547</v>
      </c>
      <c r="E713" s="10">
        <f t="shared" ca="1" si="46"/>
        <v>0.28173001969063938</v>
      </c>
      <c r="G713" s="8">
        <v>44173</v>
      </c>
      <c r="H713" s="10">
        <f t="shared" ca="1" si="47"/>
        <v>2.8918113650929465E-2</v>
      </c>
    </row>
    <row r="714" spans="2:8" hidden="1" x14ac:dyDescent="0.2">
      <c r="B714" s="8">
        <v>44174</v>
      </c>
      <c r="C714" s="9">
        <f t="shared" ca="1" si="44"/>
        <v>16817.195352381605</v>
      </c>
      <c r="D714" s="9">
        <f t="shared" ca="1" si="45"/>
        <v>10910.168633296236</v>
      </c>
      <c r="E714" s="10">
        <f t="shared" ca="1" si="46"/>
        <v>2.5909647567000892E-2</v>
      </c>
      <c r="G714" s="8">
        <v>44174</v>
      </c>
      <c r="H714" s="10">
        <f t="shared" ca="1" si="47"/>
        <v>5.7844993561942296E-2</v>
      </c>
    </row>
    <row r="715" spans="2:8" hidden="1" x14ac:dyDescent="0.2">
      <c r="B715" s="8">
        <v>44175</v>
      </c>
      <c r="C715" s="9">
        <f t="shared" ca="1" si="44"/>
        <v>16363.99992942752</v>
      </c>
      <c r="D715" s="9">
        <f t="shared" ca="1" si="45"/>
        <v>11338.637068097656</v>
      </c>
      <c r="E715" s="10">
        <f t="shared" ca="1" si="46"/>
        <v>5.0787426226551136E-2</v>
      </c>
      <c r="G715" s="8">
        <v>44175</v>
      </c>
      <c r="H715" s="10">
        <f t="shared" ca="1" si="47"/>
        <v>1.7160356396251884E-2</v>
      </c>
    </row>
    <row r="716" spans="2:8" hidden="1" x14ac:dyDescent="0.2">
      <c r="B716" s="8">
        <v>44176</v>
      </c>
      <c r="C716" s="9">
        <f t="shared" ca="1" si="44"/>
        <v>11270.579732097809</v>
      </c>
      <c r="D716" s="9">
        <f t="shared" ca="1" si="45"/>
        <v>12350.186855848911</v>
      </c>
      <c r="E716" s="10">
        <f t="shared" ca="1" si="46"/>
        <v>8.5851685334091682E-2</v>
      </c>
      <c r="G716" s="8">
        <v>44176</v>
      </c>
      <c r="H716" s="10">
        <f t="shared" ca="1" si="47"/>
        <v>2.1319297000544142E-2</v>
      </c>
    </row>
    <row r="717" spans="2:8" hidden="1" x14ac:dyDescent="0.2">
      <c r="B717" s="8">
        <v>44177</v>
      </c>
      <c r="C717" s="9">
        <f t="shared" ca="1" si="44"/>
        <v>15928.485994180173</v>
      </c>
      <c r="D717" s="9">
        <f t="shared" ca="1" si="45"/>
        <v>12949.583046020605</v>
      </c>
      <c r="E717" s="10">
        <f t="shared" ca="1" si="46"/>
        <v>9.6790163861895054E-2</v>
      </c>
      <c r="G717" s="8">
        <v>44177</v>
      </c>
      <c r="H717" s="10">
        <f t="shared" ca="1" si="47"/>
        <v>3.8329374453338769E-2</v>
      </c>
    </row>
    <row r="718" spans="2:8" hidden="1" x14ac:dyDescent="0.2">
      <c r="B718" s="8">
        <v>44178</v>
      </c>
      <c r="C718" s="9">
        <f t="shared" ca="1" si="44"/>
        <v>13313.474720423272</v>
      </c>
      <c r="D718" s="9">
        <f t="shared" ca="1" si="45"/>
        <v>17591.931064880162</v>
      </c>
      <c r="E718" s="10">
        <f t="shared" ca="1" si="46"/>
        <v>0.26891494495506413</v>
      </c>
      <c r="G718" s="8">
        <v>44178</v>
      </c>
      <c r="H718" s="10">
        <f t="shared" ca="1" si="47"/>
        <v>4.8241882223156625E-2</v>
      </c>
    </row>
    <row r="719" spans="2:8" hidden="1" x14ac:dyDescent="0.2">
      <c r="B719" s="8">
        <v>44179</v>
      </c>
      <c r="C719" s="9">
        <f t="shared" ca="1" si="44"/>
        <v>14665.071297422661</v>
      </c>
      <c r="D719" s="9">
        <f t="shared" ca="1" si="45"/>
        <v>13261.360071516301</v>
      </c>
      <c r="E719" s="10">
        <f t="shared" ca="1" si="46"/>
        <v>0.26221025719318103</v>
      </c>
      <c r="G719" s="8">
        <v>44179</v>
      </c>
      <c r="H719" s="10">
        <f t="shared" ca="1" si="47"/>
        <v>1.2771574155593424E-2</v>
      </c>
    </row>
    <row r="720" spans="2:8" hidden="1" x14ac:dyDescent="0.2">
      <c r="B720" s="8">
        <v>44180</v>
      </c>
      <c r="C720" s="9">
        <f t="shared" ca="1" si="44"/>
        <v>10901.253587963305</v>
      </c>
      <c r="D720" s="9">
        <f t="shared" ca="1" si="45"/>
        <v>10571.799653186081</v>
      </c>
      <c r="E720" s="10">
        <f t="shared" ca="1" si="46"/>
        <v>0.12957884133215788</v>
      </c>
      <c r="G720" s="8">
        <v>44180</v>
      </c>
      <c r="H720" s="10">
        <f t="shared" ca="1" si="47"/>
        <v>5.3170553736283663E-3</v>
      </c>
    </row>
    <row r="721" spans="2:8" hidden="1" x14ac:dyDescent="0.2">
      <c r="B721" s="8">
        <v>44181</v>
      </c>
      <c r="C721" s="9">
        <f t="shared" ca="1" si="44"/>
        <v>17345.676743254691</v>
      </c>
      <c r="D721" s="9">
        <f t="shared" ca="1" si="45"/>
        <v>14887.557437803771</v>
      </c>
      <c r="E721" s="10">
        <f t="shared" ca="1" si="46"/>
        <v>5.7265260487091484E-2</v>
      </c>
      <c r="G721" s="8">
        <v>44181</v>
      </c>
      <c r="H721" s="10">
        <f t="shared" ca="1" si="47"/>
        <v>1.219249409997311E-2</v>
      </c>
    </row>
    <row r="722" spans="2:8" hidden="1" x14ac:dyDescent="0.2">
      <c r="B722" s="8">
        <v>44182</v>
      </c>
      <c r="C722" s="9">
        <f t="shared" ca="1" si="44"/>
        <v>11384.525230516465</v>
      </c>
      <c r="D722" s="9">
        <f t="shared" ca="1" si="45"/>
        <v>15197.548728186954</v>
      </c>
      <c r="E722" s="10">
        <f t="shared" ca="1" si="46"/>
        <v>7.8956127055138173E-2</v>
      </c>
      <c r="G722" s="8">
        <v>44182</v>
      </c>
      <c r="H722" s="10">
        <f t="shared" ca="1" si="47"/>
        <v>5.2238783609649113E-2</v>
      </c>
    </row>
    <row r="723" spans="2:8" hidden="1" x14ac:dyDescent="0.2">
      <c r="B723" s="8">
        <v>44183</v>
      </c>
      <c r="C723" s="9">
        <f t="shared" ca="1" si="44"/>
        <v>13132.440430455821</v>
      </c>
      <c r="D723" s="9">
        <f t="shared" ca="1" si="45"/>
        <v>12818.087613295595</v>
      </c>
      <c r="E723" s="10">
        <f t="shared" ca="1" si="46"/>
        <v>0.23560035667174534</v>
      </c>
      <c r="G723" s="8">
        <v>44183</v>
      </c>
      <c r="H723" s="10">
        <f t="shared" ca="1" si="47"/>
        <v>4.3275881764042415E-2</v>
      </c>
    </row>
    <row r="724" spans="2:8" hidden="1" x14ac:dyDescent="0.2">
      <c r="B724" s="8">
        <v>44184</v>
      </c>
      <c r="C724" s="9">
        <f t="shared" ca="1" si="44"/>
        <v>17669.345336303009</v>
      </c>
      <c r="D724" s="9">
        <f t="shared" ca="1" si="45"/>
        <v>14611.041671342733</v>
      </c>
      <c r="E724" s="10">
        <f t="shared" ca="1" si="46"/>
        <v>0.15071603992751284</v>
      </c>
      <c r="G724" s="8">
        <v>44184</v>
      </c>
      <c r="H724" s="10">
        <f t="shared" ca="1" si="47"/>
        <v>6.8625682803146168E-2</v>
      </c>
    </row>
    <row r="725" spans="2:8" hidden="1" x14ac:dyDescent="0.2">
      <c r="B725" s="8">
        <v>44185</v>
      </c>
      <c r="C725" s="9">
        <f t="shared" ca="1" si="44"/>
        <v>10525.511087794148</v>
      </c>
      <c r="D725" s="9">
        <f t="shared" ca="1" si="45"/>
        <v>10609.05288801903</v>
      </c>
      <c r="E725" s="10">
        <f t="shared" ca="1" si="46"/>
        <v>4.6101817661077737E-2</v>
      </c>
      <c r="G725" s="8">
        <v>44185</v>
      </c>
      <c r="H725" s="10">
        <f t="shared" ca="1" si="47"/>
        <v>5.6127531110082111E-2</v>
      </c>
    </row>
    <row r="726" spans="2:8" hidden="1" x14ac:dyDescent="0.2">
      <c r="B726" s="8">
        <v>44186</v>
      </c>
      <c r="C726" s="9">
        <f t="shared" ca="1" si="44"/>
        <v>10454.426227322756</v>
      </c>
      <c r="D726" s="9">
        <f t="shared" ca="1" si="45"/>
        <v>12211.958973950994</v>
      </c>
      <c r="E726" s="10">
        <f t="shared" ca="1" si="46"/>
        <v>0.24261024658175492</v>
      </c>
      <c r="G726" s="8">
        <v>44186</v>
      </c>
      <c r="H726" s="10">
        <f t="shared" ca="1" si="47"/>
        <v>5.5266115535071297E-2</v>
      </c>
    </row>
    <row r="727" spans="2:8" hidden="1" x14ac:dyDescent="0.2">
      <c r="B727" s="8">
        <v>44187</v>
      </c>
      <c r="C727" s="9">
        <f t="shared" ca="1" si="44"/>
        <v>16768.991645646769</v>
      </c>
      <c r="D727" s="9">
        <f t="shared" ca="1" si="45"/>
        <v>14670.137281733822</v>
      </c>
      <c r="E727" s="10">
        <f t="shared" ca="1" si="46"/>
        <v>0.26098487805748921</v>
      </c>
      <c r="G727" s="8">
        <v>44187</v>
      </c>
      <c r="H727" s="10">
        <f t="shared" ca="1" si="47"/>
        <v>4.4272251902825875E-2</v>
      </c>
    </row>
    <row r="728" spans="2:8" hidden="1" x14ac:dyDescent="0.2">
      <c r="B728" s="8">
        <v>44188</v>
      </c>
      <c r="C728" s="9">
        <f t="shared" ca="1" si="44"/>
        <v>15271.937943536155</v>
      </c>
      <c r="D728" s="9">
        <f t="shared" ca="1" si="45"/>
        <v>13536.544001684835</v>
      </c>
      <c r="E728" s="10">
        <f t="shared" ca="1" si="46"/>
        <v>2.2912590572911729E-2</v>
      </c>
      <c r="G728" s="8">
        <v>44188</v>
      </c>
      <c r="H728" s="10">
        <f t="shared" ca="1" si="47"/>
        <v>5.7028535645422158E-2</v>
      </c>
    </row>
    <row r="729" spans="2:8" hidden="1" x14ac:dyDescent="0.2">
      <c r="B729" s="8">
        <v>44189</v>
      </c>
      <c r="C729" s="9">
        <f t="shared" ca="1" si="44"/>
        <v>15998.595348307474</v>
      </c>
      <c r="D729" s="9">
        <f t="shared" ca="1" si="45"/>
        <v>14128.515943087205</v>
      </c>
      <c r="E729" s="10">
        <f t="shared" ca="1" si="46"/>
        <v>0.21468252106944827</v>
      </c>
      <c r="G729" s="8">
        <v>44189</v>
      </c>
      <c r="H729" s="10">
        <f t="shared" ca="1" si="47"/>
        <v>5.9243039378364823E-2</v>
      </c>
    </row>
    <row r="730" spans="2:8" hidden="1" x14ac:dyDescent="0.2">
      <c r="B730" s="8">
        <v>44190</v>
      </c>
      <c r="C730" s="9">
        <f t="shared" ca="1" si="44"/>
        <v>15801.915703872117</v>
      </c>
      <c r="D730" s="9">
        <f t="shared" ca="1" si="45"/>
        <v>17407.225931439563</v>
      </c>
      <c r="E730" s="10">
        <f t="shared" ca="1" si="46"/>
        <v>0.12562428361776504</v>
      </c>
      <c r="G730" s="8">
        <v>44190</v>
      </c>
      <c r="H730" s="10">
        <f t="shared" ca="1" si="47"/>
        <v>5.9258381121239788E-2</v>
      </c>
    </row>
    <row r="731" spans="2:8" hidden="1" x14ac:dyDescent="0.2">
      <c r="B731" s="8">
        <v>44191</v>
      </c>
      <c r="C731" s="9">
        <f t="shared" ca="1" si="44"/>
        <v>16383.721741473619</v>
      </c>
      <c r="D731" s="9">
        <f t="shared" ca="1" si="45"/>
        <v>14127.288829559469</v>
      </c>
      <c r="E731" s="10">
        <f t="shared" ca="1" si="46"/>
        <v>6.5425997210223311E-2</v>
      </c>
      <c r="G731" s="8">
        <v>44191</v>
      </c>
      <c r="H731" s="10">
        <f t="shared" ca="1" si="47"/>
        <v>4.0551396632467998E-2</v>
      </c>
    </row>
    <row r="732" spans="2:8" hidden="1" x14ac:dyDescent="0.2">
      <c r="B732" s="8">
        <v>44192</v>
      </c>
      <c r="C732" s="9">
        <f t="shared" ca="1" si="44"/>
        <v>15877.567971150911</v>
      </c>
      <c r="D732" s="9">
        <f t="shared" ca="1" si="45"/>
        <v>10318.274834059097</v>
      </c>
      <c r="E732" s="10">
        <f t="shared" ca="1" si="46"/>
        <v>7.5018230860662505E-2</v>
      </c>
      <c r="G732" s="8">
        <v>44192</v>
      </c>
      <c r="H732" s="10">
        <f t="shared" ca="1" si="47"/>
        <v>2.9449980329742262E-2</v>
      </c>
    </row>
    <row r="733" spans="2:8" hidden="1" x14ac:dyDescent="0.2">
      <c r="B733" s="8">
        <v>44193</v>
      </c>
      <c r="C733" s="9">
        <f t="shared" ca="1" si="44"/>
        <v>16123.883936353295</v>
      </c>
      <c r="D733" s="9">
        <f t="shared" ca="1" si="45"/>
        <v>10631.006465169265</v>
      </c>
      <c r="E733" s="10">
        <f t="shared" ca="1" si="46"/>
        <v>0.10943547324496218</v>
      </c>
      <c r="G733" s="8">
        <v>44193</v>
      </c>
      <c r="H733" s="10">
        <f t="shared" ca="1" si="47"/>
        <v>6.9054372805445879E-2</v>
      </c>
    </row>
    <row r="734" spans="2:8" hidden="1" x14ac:dyDescent="0.2">
      <c r="B734" s="8">
        <v>44194</v>
      </c>
      <c r="C734" s="9">
        <f t="shared" ca="1" si="44"/>
        <v>16850.498155758622</v>
      </c>
      <c r="D734" s="9">
        <f t="shared" ca="1" si="45"/>
        <v>16423.444873324446</v>
      </c>
      <c r="E734" s="10">
        <f t="shared" ca="1" si="46"/>
        <v>0.23958167578117623</v>
      </c>
      <c r="G734" s="8">
        <v>44194</v>
      </c>
      <c r="H734" s="10">
        <f t="shared" ca="1" si="47"/>
        <v>2.1721127351532247E-3</v>
      </c>
    </row>
    <row r="735" spans="2:8" hidden="1" x14ac:dyDescent="0.2">
      <c r="B735" s="8">
        <v>44195</v>
      </c>
      <c r="C735" s="9">
        <f t="shared" ca="1" si="44"/>
        <v>14324.430753292952</v>
      </c>
      <c r="D735" s="9">
        <f t="shared" ca="1" si="45"/>
        <v>11787.073295480135</v>
      </c>
      <c r="E735" s="10">
        <f t="shared" ca="1" si="46"/>
        <v>9.9295802998967869E-2</v>
      </c>
      <c r="G735" s="8">
        <v>44195</v>
      </c>
      <c r="H735" s="10">
        <f t="shared" ca="1" si="47"/>
        <v>5.8605990982392886E-2</v>
      </c>
    </row>
    <row r="736" spans="2:8" x14ac:dyDescent="0.2">
      <c r="B736" s="8">
        <v>44196</v>
      </c>
      <c r="C736" s="9">
        <f t="shared" ca="1" si="44"/>
        <v>14074.176972039631</v>
      </c>
      <c r="D736" s="9">
        <f t="shared" ca="1" si="45"/>
        <v>17678.744712601056</v>
      </c>
      <c r="E736" s="10">
        <f t="shared" ca="1" si="46"/>
        <v>2.4783071645372155E-2</v>
      </c>
      <c r="G736" s="8">
        <v>44196</v>
      </c>
      <c r="H736" s="10">
        <f t="shared" ca="1" si="47"/>
        <v>1.186087161123588E-2</v>
      </c>
    </row>
    <row r="737" spans="2:8" hidden="1" x14ac:dyDescent="0.2">
      <c r="B737" s="8">
        <v>44197</v>
      </c>
      <c r="C737" s="9">
        <f t="shared" ca="1" si="44"/>
        <v>11616.351526666838</v>
      </c>
      <c r="D737" s="9">
        <f t="shared" ca="1" si="45"/>
        <v>15879.592434380607</v>
      </c>
      <c r="E737" s="10">
        <f t="shared" ca="1" si="46"/>
        <v>6.3335255782903374E-2</v>
      </c>
      <c r="G737" s="8">
        <v>44197</v>
      </c>
      <c r="H737" s="10">
        <f t="shared" ca="1" si="47"/>
        <v>4.9916030465803639E-2</v>
      </c>
    </row>
    <row r="738" spans="2:8" hidden="1" x14ac:dyDescent="0.2">
      <c r="B738" s="8">
        <v>44198</v>
      </c>
      <c r="C738" s="9">
        <f t="shared" ca="1" si="44"/>
        <v>17562.293160682759</v>
      </c>
      <c r="D738" s="9">
        <f t="shared" ca="1" si="45"/>
        <v>17927.839448093153</v>
      </c>
      <c r="E738" s="10">
        <f t="shared" ca="1" si="46"/>
        <v>0.22086179728321098</v>
      </c>
      <c r="G738" s="8">
        <v>44198</v>
      </c>
      <c r="H738" s="10">
        <f t="shared" ca="1" si="47"/>
        <v>5.5075251980681569E-2</v>
      </c>
    </row>
    <row r="739" spans="2:8" hidden="1" x14ac:dyDescent="0.2">
      <c r="B739" s="8">
        <v>44199</v>
      </c>
      <c r="C739" s="9">
        <f t="shared" ca="1" si="44"/>
        <v>16761.944982453046</v>
      </c>
      <c r="D739" s="9">
        <f t="shared" ca="1" si="45"/>
        <v>14292.306943559448</v>
      </c>
      <c r="E739" s="10">
        <f t="shared" ca="1" si="46"/>
        <v>0.1280355288131764</v>
      </c>
      <c r="G739" s="8">
        <v>44199</v>
      </c>
      <c r="H739" s="10">
        <f t="shared" ca="1" si="47"/>
        <v>4.8518949211301211E-2</v>
      </c>
    </row>
    <row r="740" spans="2:8" hidden="1" x14ac:dyDescent="0.2">
      <c r="B740" s="8">
        <v>44200</v>
      </c>
      <c r="C740" s="9">
        <f t="shared" ca="1" si="44"/>
        <v>10378.38369788212</v>
      </c>
      <c r="D740" s="9">
        <f t="shared" ca="1" si="45"/>
        <v>12082.415581863514</v>
      </c>
      <c r="E740" s="10">
        <f t="shared" ca="1" si="46"/>
        <v>0.1694175377850082</v>
      </c>
      <c r="G740" s="8">
        <v>44200</v>
      </c>
      <c r="H740" s="10">
        <f t="shared" ca="1" si="47"/>
        <v>4.647009396811054E-2</v>
      </c>
    </row>
    <row r="741" spans="2:8" hidden="1" x14ac:dyDescent="0.2">
      <c r="B741" s="8">
        <v>44201</v>
      </c>
      <c r="C741" s="9">
        <f t="shared" ca="1" si="44"/>
        <v>13184.989871007028</v>
      </c>
      <c r="D741" s="9">
        <f t="shared" ca="1" si="45"/>
        <v>15217.305369692654</v>
      </c>
      <c r="E741" s="10">
        <f t="shared" ca="1" si="46"/>
        <v>0.12356454951435079</v>
      </c>
      <c r="G741" s="8">
        <v>44201</v>
      </c>
      <c r="H741" s="10">
        <f t="shared" ca="1" si="47"/>
        <v>3.3988893412658892E-2</v>
      </c>
    </row>
    <row r="742" spans="2:8" hidden="1" x14ac:dyDescent="0.2">
      <c r="B742" s="8">
        <v>44202</v>
      </c>
      <c r="C742" s="9">
        <f t="shared" ca="1" si="44"/>
        <v>15199.116116028341</v>
      </c>
      <c r="D742" s="9">
        <f t="shared" ca="1" si="45"/>
        <v>11811.149502934237</v>
      </c>
      <c r="E742" s="10">
        <f t="shared" ca="1" si="46"/>
        <v>0.22313266339428525</v>
      </c>
      <c r="G742" s="8">
        <v>44202</v>
      </c>
      <c r="H742" s="10">
        <f t="shared" ca="1" si="47"/>
        <v>3.6244354945341067E-4</v>
      </c>
    </row>
    <row r="743" spans="2:8" hidden="1" x14ac:dyDescent="0.2">
      <c r="B743" s="8">
        <v>44203</v>
      </c>
      <c r="C743" s="9">
        <f t="shared" ca="1" si="44"/>
        <v>16129.848563524502</v>
      </c>
      <c r="D743" s="9">
        <f t="shared" ca="1" si="45"/>
        <v>13265.655642138801</v>
      </c>
      <c r="E743" s="10">
        <f t="shared" ca="1" si="46"/>
        <v>4.1519269423892745E-2</v>
      </c>
      <c r="G743" s="8">
        <v>44203</v>
      </c>
      <c r="H743" s="10">
        <f t="shared" ca="1" si="47"/>
        <v>9.5969431789833439E-3</v>
      </c>
    </row>
    <row r="744" spans="2:8" hidden="1" x14ac:dyDescent="0.2">
      <c r="B744" s="8">
        <v>44204</v>
      </c>
      <c r="C744" s="9">
        <f t="shared" ca="1" si="44"/>
        <v>17188.599429551301</v>
      </c>
      <c r="D744" s="9">
        <f t="shared" ca="1" si="45"/>
        <v>17844.995343326045</v>
      </c>
      <c r="E744" s="10">
        <f t="shared" ca="1" si="46"/>
        <v>3.5265846789780172E-3</v>
      </c>
      <c r="G744" s="8">
        <v>44204</v>
      </c>
      <c r="H744" s="10">
        <f t="shared" ca="1" si="47"/>
        <v>3.7198415314243012E-2</v>
      </c>
    </row>
    <row r="745" spans="2:8" hidden="1" x14ac:dyDescent="0.2">
      <c r="B745" s="8">
        <v>44205</v>
      </c>
      <c r="C745" s="9">
        <f t="shared" ca="1" si="44"/>
        <v>13281.926580971043</v>
      </c>
      <c r="D745" s="9">
        <f t="shared" ca="1" si="45"/>
        <v>11430.700945414179</v>
      </c>
      <c r="E745" s="10">
        <f t="shared" ca="1" si="46"/>
        <v>0.23302526903321155</v>
      </c>
      <c r="G745" s="8">
        <v>44205</v>
      </c>
      <c r="H745" s="10">
        <f t="shared" ca="1" si="47"/>
        <v>4.5162032290482962E-2</v>
      </c>
    </row>
    <row r="746" spans="2:8" hidden="1" x14ac:dyDescent="0.2">
      <c r="B746" s="8">
        <v>44206</v>
      </c>
      <c r="C746" s="9">
        <f t="shared" ca="1" si="44"/>
        <v>11024.62470443548</v>
      </c>
      <c r="D746" s="9">
        <f t="shared" ca="1" si="45"/>
        <v>16891.167155007963</v>
      </c>
      <c r="E746" s="10">
        <f t="shared" ca="1" si="46"/>
        <v>0.17049284116335489</v>
      </c>
      <c r="G746" s="8">
        <v>44206</v>
      </c>
      <c r="H746" s="10">
        <f t="shared" ca="1" si="47"/>
        <v>5.2485764402752516E-2</v>
      </c>
    </row>
    <row r="747" spans="2:8" hidden="1" x14ac:dyDescent="0.2">
      <c r="B747" s="8">
        <v>44207</v>
      </c>
      <c r="C747" s="9">
        <f t="shared" ca="1" si="44"/>
        <v>16651.745293441221</v>
      </c>
      <c r="D747" s="9">
        <f t="shared" ca="1" si="45"/>
        <v>15581.318906580425</v>
      </c>
      <c r="E747" s="10">
        <f t="shared" ca="1" si="46"/>
        <v>0.14842039878766752</v>
      </c>
      <c r="G747" s="8">
        <v>44207</v>
      </c>
      <c r="H747" s="10">
        <f t="shared" ca="1" si="47"/>
        <v>5.8100507794780917E-2</v>
      </c>
    </row>
    <row r="748" spans="2:8" hidden="1" x14ac:dyDescent="0.2">
      <c r="B748" s="8">
        <v>44208</v>
      </c>
      <c r="C748" s="9">
        <f t="shared" ca="1" si="44"/>
        <v>15734.731679090455</v>
      </c>
      <c r="D748" s="9">
        <f t="shared" ca="1" si="45"/>
        <v>10901.362052633222</v>
      </c>
      <c r="E748" s="10">
        <f t="shared" ca="1" si="46"/>
        <v>0.18578418135414204</v>
      </c>
      <c r="G748" s="8">
        <v>44208</v>
      </c>
      <c r="H748" s="10">
        <f t="shared" ca="1" si="47"/>
        <v>6.1198895203394568E-2</v>
      </c>
    </row>
    <row r="749" spans="2:8" hidden="1" x14ac:dyDescent="0.2">
      <c r="B749" s="8">
        <v>44209</v>
      </c>
      <c r="C749" s="9">
        <f t="shared" ca="1" si="44"/>
        <v>12252.793544411983</v>
      </c>
      <c r="D749" s="9">
        <f t="shared" ca="1" si="45"/>
        <v>16796.247062108683</v>
      </c>
      <c r="E749" s="10">
        <f t="shared" ca="1" si="46"/>
        <v>6.358458049997763E-2</v>
      </c>
      <c r="G749" s="8">
        <v>44209</v>
      </c>
      <c r="H749" s="10">
        <f t="shared" ca="1" si="47"/>
        <v>3.2657091373031688E-2</v>
      </c>
    </row>
    <row r="750" spans="2:8" hidden="1" x14ac:dyDescent="0.2">
      <c r="B750" s="8">
        <v>44210</v>
      </c>
      <c r="C750" s="9">
        <f t="shared" ca="1" si="44"/>
        <v>15358.099491748322</v>
      </c>
      <c r="D750" s="9">
        <f t="shared" ca="1" si="45"/>
        <v>17516.730697563482</v>
      </c>
      <c r="E750" s="10">
        <f t="shared" ca="1" si="46"/>
        <v>0.27750739527893725</v>
      </c>
      <c r="G750" s="8">
        <v>44210</v>
      </c>
      <c r="H750" s="10">
        <f t="shared" ca="1" si="47"/>
        <v>6.7912079984239912E-2</v>
      </c>
    </row>
    <row r="751" spans="2:8" hidden="1" x14ac:dyDescent="0.2">
      <c r="B751" s="8">
        <v>44211</v>
      </c>
      <c r="C751" s="9">
        <f t="shared" ca="1" si="44"/>
        <v>10705.442845733065</v>
      </c>
      <c r="D751" s="9">
        <f t="shared" ca="1" si="45"/>
        <v>14706.927441806345</v>
      </c>
      <c r="E751" s="10">
        <f t="shared" ca="1" si="46"/>
        <v>0.25148419933168142</v>
      </c>
      <c r="G751" s="8">
        <v>44211</v>
      </c>
      <c r="H751" s="10">
        <f t="shared" ca="1" si="47"/>
        <v>5.0797738996558574E-2</v>
      </c>
    </row>
    <row r="752" spans="2:8" hidden="1" x14ac:dyDescent="0.2">
      <c r="B752" s="8">
        <v>44212</v>
      </c>
      <c r="C752" s="9">
        <f t="shared" ca="1" si="44"/>
        <v>10967.70105860379</v>
      </c>
      <c r="D752" s="9">
        <f t="shared" ca="1" si="45"/>
        <v>14030.427311895131</v>
      </c>
      <c r="E752" s="10">
        <f t="shared" ca="1" si="46"/>
        <v>3.8939866939720111E-2</v>
      </c>
      <c r="G752" s="8">
        <v>44212</v>
      </c>
      <c r="H752" s="10">
        <f t="shared" ca="1" si="47"/>
        <v>1.7811851268847739E-2</v>
      </c>
    </row>
    <row r="753" spans="2:8" hidden="1" x14ac:dyDescent="0.2">
      <c r="B753" s="8">
        <v>44213</v>
      </c>
      <c r="C753" s="9">
        <f t="shared" ca="1" si="44"/>
        <v>10371.797194985522</v>
      </c>
      <c r="D753" s="9">
        <f t="shared" ca="1" si="45"/>
        <v>13079.278873516565</v>
      </c>
      <c r="E753" s="10">
        <f t="shared" ca="1" si="46"/>
        <v>0.10150123167198624</v>
      </c>
      <c r="G753" s="8">
        <v>44213</v>
      </c>
      <c r="H753" s="10">
        <f t="shared" ca="1" si="47"/>
        <v>4.5056899268038797E-2</v>
      </c>
    </row>
    <row r="754" spans="2:8" hidden="1" x14ac:dyDescent="0.2">
      <c r="B754" s="8">
        <v>44214</v>
      </c>
      <c r="C754" s="9">
        <f t="shared" ca="1" si="44"/>
        <v>12816.360977422542</v>
      </c>
      <c r="D754" s="9">
        <f t="shared" ca="1" si="45"/>
        <v>10375.793819609094</v>
      </c>
      <c r="E754" s="10">
        <f t="shared" ca="1" si="46"/>
        <v>0.20144998029154079</v>
      </c>
      <c r="G754" s="8">
        <v>44214</v>
      </c>
      <c r="H754" s="10">
        <f t="shared" ca="1" si="47"/>
        <v>9.8444241514756507E-3</v>
      </c>
    </row>
    <row r="755" spans="2:8" hidden="1" x14ac:dyDescent="0.2">
      <c r="B755" s="8">
        <v>44215</v>
      </c>
      <c r="C755" s="9">
        <f t="shared" ca="1" si="44"/>
        <v>13696.523931292697</v>
      </c>
      <c r="D755" s="9">
        <f t="shared" ca="1" si="45"/>
        <v>13164.995559366012</v>
      </c>
      <c r="E755" s="10">
        <f t="shared" ca="1" si="46"/>
        <v>9.1599011185003881E-2</v>
      </c>
      <c r="G755" s="8">
        <v>44215</v>
      </c>
      <c r="H755" s="10">
        <f t="shared" ca="1" si="47"/>
        <v>5.6782223785209968E-3</v>
      </c>
    </row>
    <row r="756" spans="2:8" hidden="1" x14ac:dyDescent="0.2">
      <c r="B756" s="8">
        <v>44216</v>
      </c>
      <c r="C756" s="9">
        <f t="shared" ca="1" si="44"/>
        <v>16653.415880281907</v>
      </c>
      <c r="D756" s="9">
        <f t="shared" ca="1" si="45"/>
        <v>13251.132757108933</v>
      </c>
      <c r="E756" s="10">
        <f t="shared" ca="1" si="46"/>
        <v>0.23069230227316154</v>
      </c>
      <c r="G756" s="8">
        <v>44216</v>
      </c>
      <c r="H756" s="10">
        <f t="shared" ca="1" si="47"/>
        <v>3.1231252412989869E-2</v>
      </c>
    </row>
    <row r="757" spans="2:8" hidden="1" x14ac:dyDescent="0.2">
      <c r="B757" s="8">
        <v>44217</v>
      </c>
      <c r="C757" s="9">
        <f t="shared" ca="1" si="44"/>
        <v>16020.933103709765</v>
      </c>
      <c r="D757" s="9">
        <f t="shared" ca="1" si="45"/>
        <v>14338.287119961253</v>
      </c>
      <c r="E757" s="10">
        <f t="shared" ca="1" si="46"/>
        <v>2.0970258633666104E-2</v>
      </c>
      <c r="G757" s="8">
        <v>44217</v>
      </c>
      <c r="H757" s="10">
        <f t="shared" ca="1" si="47"/>
        <v>6.1862524403272216E-2</v>
      </c>
    </row>
    <row r="758" spans="2:8" hidden="1" x14ac:dyDescent="0.2">
      <c r="B758" s="8">
        <v>44218</v>
      </c>
      <c r="C758" s="9">
        <f t="shared" ca="1" si="44"/>
        <v>16015.823107790126</v>
      </c>
      <c r="D758" s="9">
        <f t="shared" ca="1" si="45"/>
        <v>11037.927245545625</v>
      </c>
      <c r="E758" s="10">
        <f t="shared" ca="1" si="46"/>
        <v>5.7718624670693996E-4</v>
      </c>
      <c r="G758" s="8">
        <v>44218</v>
      </c>
      <c r="H758" s="10">
        <f t="shared" ca="1" si="47"/>
        <v>1.8973372841637483E-3</v>
      </c>
    </row>
    <row r="759" spans="2:8" hidden="1" x14ac:dyDescent="0.2">
      <c r="B759" s="8">
        <v>44219</v>
      </c>
      <c r="C759" s="9">
        <f t="shared" ca="1" si="44"/>
        <v>15621.016703789363</v>
      </c>
      <c r="D759" s="9">
        <f t="shared" ca="1" si="45"/>
        <v>14205.56501921669</v>
      </c>
      <c r="E759" s="10">
        <f t="shared" ca="1" si="46"/>
        <v>0.14993383210051772</v>
      </c>
      <c r="G759" s="8">
        <v>44219</v>
      </c>
      <c r="H759" s="10">
        <f t="shared" ca="1" si="47"/>
        <v>3.8650172525205327E-2</v>
      </c>
    </row>
    <row r="760" spans="2:8" hidden="1" x14ac:dyDescent="0.2">
      <c r="B760" s="8">
        <v>44220</v>
      </c>
      <c r="C760" s="9">
        <f t="shared" ca="1" si="44"/>
        <v>11276.417746790754</v>
      </c>
      <c r="D760" s="9">
        <f t="shared" ca="1" si="45"/>
        <v>17260.482570227952</v>
      </c>
      <c r="E760" s="10">
        <f t="shared" ca="1" si="46"/>
        <v>0.21130382497588912</v>
      </c>
      <c r="G760" s="8">
        <v>44220</v>
      </c>
      <c r="H760" s="10">
        <f t="shared" ca="1" si="47"/>
        <v>3.8474235034038115E-2</v>
      </c>
    </row>
    <row r="761" spans="2:8" hidden="1" x14ac:dyDescent="0.2">
      <c r="B761" s="8">
        <v>44221</v>
      </c>
      <c r="C761" s="9">
        <f t="shared" ca="1" si="44"/>
        <v>11313.645137099411</v>
      </c>
      <c r="D761" s="9">
        <f t="shared" ca="1" si="45"/>
        <v>10328.352023241898</v>
      </c>
      <c r="E761" s="10">
        <f t="shared" ca="1" si="46"/>
        <v>2.0160912412024445E-2</v>
      </c>
      <c r="G761" s="8">
        <v>44221</v>
      </c>
      <c r="H761" s="10">
        <f t="shared" ca="1" si="47"/>
        <v>3.1872753283313142E-3</v>
      </c>
    </row>
    <row r="762" spans="2:8" hidden="1" x14ac:dyDescent="0.2">
      <c r="B762" s="8">
        <v>44222</v>
      </c>
      <c r="C762" s="9">
        <f t="shared" ca="1" si="44"/>
        <v>10405.409946061689</v>
      </c>
      <c r="D762" s="9">
        <f t="shared" ca="1" si="45"/>
        <v>11768.598596513677</v>
      </c>
      <c r="E762" s="10">
        <f t="shared" ca="1" si="46"/>
        <v>0.16474195562415897</v>
      </c>
      <c r="G762" s="8">
        <v>44222</v>
      </c>
      <c r="H762" s="10">
        <f t="shared" ca="1" si="47"/>
        <v>6.2527932717241119E-4</v>
      </c>
    </row>
    <row r="763" spans="2:8" hidden="1" x14ac:dyDescent="0.2">
      <c r="B763" s="8">
        <v>44223</v>
      </c>
      <c r="C763" s="9">
        <f t="shared" ca="1" si="44"/>
        <v>14346.524480303096</v>
      </c>
      <c r="D763" s="9">
        <f t="shared" ca="1" si="45"/>
        <v>12681.782974673693</v>
      </c>
      <c r="E763" s="10">
        <f t="shared" ca="1" si="46"/>
        <v>0.13037763249161854</v>
      </c>
      <c r="G763" s="8">
        <v>44223</v>
      </c>
      <c r="H763" s="10">
        <f t="shared" ca="1" si="47"/>
        <v>6.6492793162029176E-2</v>
      </c>
    </row>
    <row r="764" spans="2:8" hidden="1" x14ac:dyDescent="0.2">
      <c r="B764" s="8">
        <v>44224</v>
      </c>
      <c r="C764" s="9">
        <f t="shared" ca="1" si="44"/>
        <v>16819.820766136156</v>
      </c>
      <c r="D764" s="9">
        <f t="shared" ca="1" si="45"/>
        <v>15260.500884627094</v>
      </c>
      <c r="E764" s="10">
        <f t="shared" ca="1" si="46"/>
        <v>4.4383133930170716E-2</v>
      </c>
      <c r="G764" s="8">
        <v>44224</v>
      </c>
      <c r="H764" s="10">
        <f t="shared" ca="1" si="47"/>
        <v>2.2719749935904504E-2</v>
      </c>
    </row>
    <row r="765" spans="2:8" hidden="1" x14ac:dyDescent="0.2">
      <c r="B765" s="8">
        <v>44225</v>
      </c>
      <c r="C765" s="9">
        <f t="shared" ca="1" si="44"/>
        <v>13661.189247978791</v>
      </c>
      <c r="D765" s="9">
        <f t="shared" ca="1" si="45"/>
        <v>13872.037955479351</v>
      </c>
      <c r="E765" s="10">
        <f t="shared" ca="1" si="46"/>
        <v>2.9953523556739213E-2</v>
      </c>
      <c r="G765" s="8">
        <v>44225</v>
      </c>
      <c r="H765" s="10">
        <f t="shared" ca="1" si="47"/>
        <v>3.9126268572141444E-2</v>
      </c>
    </row>
    <row r="766" spans="2:8" hidden="1" x14ac:dyDescent="0.2">
      <c r="B766" s="8">
        <v>44226</v>
      </c>
      <c r="C766" s="9">
        <f t="shared" ca="1" si="44"/>
        <v>15124.068811305693</v>
      </c>
      <c r="D766" s="9">
        <f t="shared" ca="1" si="45"/>
        <v>11574.325394194013</v>
      </c>
      <c r="E766" s="10">
        <f t="shared" ca="1" si="46"/>
        <v>0.20167625954262283</v>
      </c>
      <c r="G766" s="8">
        <v>44226</v>
      </c>
      <c r="H766" s="10">
        <f t="shared" ca="1" si="47"/>
        <v>6.5000244454406539E-2</v>
      </c>
    </row>
    <row r="767" spans="2:8" hidden="1" x14ac:dyDescent="0.2">
      <c r="B767" s="8">
        <v>44227</v>
      </c>
      <c r="C767" s="9">
        <f t="shared" ca="1" si="44"/>
        <v>11319.747615941666</v>
      </c>
      <c r="D767" s="9">
        <f t="shared" ca="1" si="45"/>
        <v>15447.173412424538</v>
      </c>
      <c r="E767" s="10">
        <f t="shared" ca="1" si="46"/>
        <v>0.21441439987876831</v>
      </c>
      <c r="G767" s="8">
        <v>44227</v>
      </c>
      <c r="H767" s="10">
        <f t="shared" ca="1" si="47"/>
        <v>6.4390879733696491E-2</v>
      </c>
    </row>
    <row r="768" spans="2:8" hidden="1" x14ac:dyDescent="0.2">
      <c r="B768" s="8">
        <v>44228</v>
      </c>
      <c r="C768" s="9">
        <f t="shared" ca="1" si="44"/>
        <v>11117.091259829151</v>
      </c>
      <c r="D768" s="9">
        <f t="shared" ca="1" si="45"/>
        <v>16969.776442173952</v>
      </c>
      <c r="E768" s="10">
        <f t="shared" ca="1" si="46"/>
        <v>0.25731728435820045</v>
      </c>
      <c r="G768" s="8">
        <v>44228</v>
      </c>
      <c r="H768" s="10">
        <f t="shared" ca="1" si="47"/>
        <v>4.1475906937003128E-2</v>
      </c>
    </row>
    <row r="769" spans="2:8" hidden="1" x14ac:dyDescent="0.2">
      <c r="B769" s="8">
        <v>44229</v>
      </c>
      <c r="C769" s="9">
        <f t="shared" ca="1" si="44"/>
        <v>12913.928793435129</v>
      </c>
      <c r="D769" s="9">
        <f t="shared" ca="1" si="45"/>
        <v>13793.400350636599</v>
      </c>
      <c r="E769" s="10">
        <f t="shared" ca="1" si="46"/>
        <v>0.26566046297067908</v>
      </c>
      <c r="G769" s="8">
        <v>44229</v>
      </c>
      <c r="H769" s="10">
        <f t="shared" ca="1" si="47"/>
        <v>5.3828197983057605E-3</v>
      </c>
    </row>
    <row r="770" spans="2:8" hidden="1" x14ac:dyDescent="0.2">
      <c r="B770" s="8">
        <v>44230</v>
      </c>
      <c r="C770" s="9">
        <f t="shared" ca="1" si="44"/>
        <v>10526.269884145477</v>
      </c>
      <c r="D770" s="9">
        <f t="shared" ca="1" si="45"/>
        <v>11140.848033572609</v>
      </c>
      <c r="E770" s="10">
        <f t="shared" ca="1" si="46"/>
        <v>0.11509212972269221</v>
      </c>
      <c r="G770" s="8">
        <v>44230</v>
      </c>
      <c r="H770" s="10">
        <f t="shared" ca="1" si="47"/>
        <v>5.2936083219369517E-2</v>
      </c>
    </row>
    <row r="771" spans="2:8" hidden="1" x14ac:dyDescent="0.2">
      <c r="B771" s="8">
        <v>44231</v>
      </c>
      <c r="C771" s="9">
        <f t="shared" ca="1" si="44"/>
        <v>10583.54860575587</v>
      </c>
      <c r="D771" s="9">
        <f t="shared" ca="1" si="45"/>
        <v>17676.860292120717</v>
      </c>
      <c r="E771" s="10">
        <f t="shared" ca="1" si="46"/>
        <v>2.6877722231379185E-3</v>
      </c>
      <c r="G771" s="8">
        <v>44231</v>
      </c>
      <c r="H771" s="10">
        <f t="shared" ca="1" si="47"/>
        <v>2.7152635754022041E-3</v>
      </c>
    </row>
    <row r="772" spans="2:8" hidden="1" x14ac:dyDescent="0.2">
      <c r="B772" s="8">
        <v>44232</v>
      </c>
      <c r="C772" s="9">
        <f t="shared" ca="1" si="44"/>
        <v>14929.103777961278</v>
      </c>
      <c r="D772" s="9">
        <f t="shared" ca="1" si="45"/>
        <v>14463.800524643404</v>
      </c>
      <c r="E772" s="10">
        <f t="shared" ca="1" si="46"/>
        <v>0.1597156916720506</v>
      </c>
      <c r="G772" s="8">
        <v>44232</v>
      </c>
      <c r="H772" s="10">
        <f t="shared" ca="1" si="47"/>
        <v>1.381613827479357E-2</v>
      </c>
    </row>
    <row r="773" spans="2:8" hidden="1" x14ac:dyDescent="0.2">
      <c r="B773" s="8">
        <v>44233</v>
      </c>
      <c r="C773" s="9">
        <f t="shared" ca="1" si="44"/>
        <v>17171.849339971195</v>
      </c>
      <c r="D773" s="9">
        <f t="shared" ca="1" si="45"/>
        <v>11798.070488277957</v>
      </c>
      <c r="E773" s="10">
        <f t="shared" ca="1" si="46"/>
        <v>0.11243561659410931</v>
      </c>
      <c r="G773" s="8">
        <v>44233</v>
      </c>
      <c r="H773" s="10">
        <f t="shared" ca="1" si="47"/>
        <v>6.6749313749750711E-2</v>
      </c>
    </row>
    <row r="774" spans="2:8" hidden="1" x14ac:dyDescent="0.2">
      <c r="B774" s="8">
        <v>44234</v>
      </c>
      <c r="C774" s="9">
        <f t="shared" ca="1" si="44"/>
        <v>11655.856595760393</v>
      </c>
      <c r="D774" s="9">
        <f t="shared" ca="1" si="45"/>
        <v>13195.751661560391</v>
      </c>
      <c r="E774" s="10">
        <f t="shared" ca="1" si="46"/>
        <v>0.25673891002439136</v>
      </c>
      <c r="G774" s="8">
        <v>44234</v>
      </c>
      <c r="H774" s="10">
        <f t="shared" ca="1" si="47"/>
        <v>4.6428549008702838E-3</v>
      </c>
    </row>
    <row r="775" spans="2:8" hidden="1" x14ac:dyDescent="0.2">
      <c r="B775" s="8">
        <v>44235</v>
      </c>
      <c r="C775" s="9">
        <f t="shared" ref="C775:C838" ca="1" si="48">RAND()*(18000-10000)+10000</f>
        <v>10459.20762665781</v>
      </c>
      <c r="D775" s="9">
        <f t="shared" ref="D775:D838" ca="1" si="49">RAND()*(18000-10000)+10000</f>
        <v>11292.461237861813</v>
      </c>
      <c r="E775" s="10">
        <f t="shared" ref="E775:E838" ca="1" si="50">RAND()*(30%-0%)+0%</f>
        <v>9.3300485955665285E-2</v>
      </c>
      <c r="G775" s="8">
        <v>44235</v>
      </c>
      <c r="H775" s="10">
        <f t="shared" ref="H775:H838" ca="1" si="51">RAND()*(7%-0%)+0%</f>
        <v>2.3866981767717243E-2</v>
      </c>
    </row>
    <row r="776" spans="2:8" hidden="1" x14ac:dyDescent="0.2">
      <c r="B776" s="8">
        <v>44236</v>
      </c>
      <c r="C776" s="9">
        <f t="shared" ca="1" si="48"/>
        <v>14646.916486033271</v>
      </c>
      <c r="D776" s="9">
        <f t="shared" ca="1" si="49"/>
        <v>17403.334318931793</v>
      </c>
      <c r="E776" s="10">
        <f t="shared" ca="1" si="50"/>
        <v>3.3942624754649285E-2</v>
      </c>
      <c r="G776" s="8">
        <v>44236</v>
      </c>
      <c r="H776" s="10">
        <f t="shared" ca="1" si="51"/>
        <v>1.5901657266671979E-2</v>
      </c>
    </row>
    <row r="777" spans="2:8" hidden="1" x14ac:dyDescent="0.2">
      <c r="B777" s="8">
        <v>44237</v>
      </c>
      <c r="C777" s="9">
        <f t="shared" ca="1" si="48"/>
        <v>17072.317151568168</v>
      </c>
      <c r="D777" s="9">
        <f t="shared" ca="1" si="49"/>
        <v>16403.715885730184</v>
      </c>
      <c r="E777" s="10">
        <f t="shared" ca="1" si="50"/>
        <v>0.10833570899685192</v>
      </c>
      <c r="G777" s="8">
        <v>44237</v>
      </c>
      <c r="H777" s="10">
        <f t="shared" ca="1" si="51"/>
        <v>1.4523046616720838E-3</v>
      </c>
    </row>
    <row r="778" spans="2:8" hidden="1" x14ac:dyDescent="0.2">
      <c r="B778" s="8">
        <v>44238</v>
      </c>
      <c r="C778" s="9">
        <f t="shared" ca="1" si="48"/>
        <v>13080.069249589462</v>
      </c>
      <c r="D778" s="9">
        <f t="shared" ca="1" si="49"/>
        <v>16359.218376880279</v>
      </c>
      <c r="E778" s="10">
        <f t="shared" ca="1" si="50"/>
        <v>0.23213955334962372</v>
      </c>
      <c r="G778" s="8">
        <v>44238</v>
      </c>
      <c r="H778" s="10">
        <f t="shared" ca="1" si="51"/>
        <v>8.5095623717497577E-3</v>
      </c>
    </row>
    <row r="779" spans="2:8" hidden="1" x14ac:dyDescent="0.2">
      <c r="B779" s="8">
        <v>44239</v>
      </c>
      <c r="C779" s="9">
        <f t="shared" ca="1" si="48"/>
        <v>10049.249639609543</v>
      </c>
      <c r="D779" s="9">
        <f t="shared" ca="1" si="49"/>
        <v>15103.832583327641</v>
      </c>
      <c r="E779" s="10">
        <f t="shared" ca="1" si="50"/>
        <v>0.23342191834966219</v>
      </c>
      <c r="G779" s="8">
        <v>44239</v>
      </c>
      <c r="H779" s="10">
        <f t="shared" ca="1" si="51"/>
        <v>4.7755812675005845E-2</v>
      </c>
    </row>
    <row r="780" spans="2:8" hidden="1" x14ac:dyDescent="0.2">
      <c r="B780" s="8">
        <v>44240</v>
      </c>
      <c r="C780" s="9">
        <f t="shared" ca="1" si="48"/>
        <v>15714.158277882896</v>
      </c>
      <c r="D780" s="9">
        <f t="shared" ca="1" si="49"/>
        <v>17416.81028131524</v>
      </c>
      <c r="E780" s="10">
        <f t="shared" ca="1" si="50"/>
        <v>0.14134034439826329</v>
      </c>
      <c r="G780" s="8">
        <v>44240</v>
      </c>
      <c r="H780" s="10">
        <f t="shared" ca="1" si="51"/>
        <v>1.0247456204484407E-2</v>
      </c>
    </row>
    <row r="781" spans="2:8" hidden="1" x14ac:dyDescent="0.2">
      <c r="B781" s="8">
        <v>44241</v>
      </c>
      <c r="C781" s="9">
        <f t="shared" ca="1" si="48"/>
        <v>11873.638051628715</v>
      </c>
      <c r="D781" s="9">
        <f t="shared" ca="1" si="49"/>
        <v>17580.501316326106</v>
      </c>
      <c r="E781" s="10">
        <f t="shared" ca="1" si="50"/>
        <v>8.4915444194593473E-2</v>
      </c>
      <c r="G781" s="8">
        <v>44241</v>
      </c>
      <c r="H781" s="10">
        <f t="shared" ca="1" si="51"/>
        <v>3.0072535847759173E-2</v>
      </c>
    </row>
    <row r="782" spans="2:8" hidden="1" x14ac:dyDescent="0.2">
      <c r="B782" s="8">
        <v>44242</v>
      </c>
      <c r="C782" s="9">
        <f t="shared" ca="1" si="48"/>
        <v>15382.606274375106</v>
      </c>
      <c r="D782" s="9">
        <f t="shared" ca="1" si="49"/>
        <v>15045.471448855893</v>
      </c>
      <c r="E782" s="10">
        <f t="shared" ca="1" si="50"/>
        <v>8.7896949084682555E-2</v>
      </c>
      <c r="G782" s="8">
        <v>44242</v>
      </c>
      <c r="H782" s="10">
        <f t="shared" ca="1" si="51"/>
        <v>9.569326237547136E-3</v>
      </c>
    </row>
    <row r="783" spans="2:8" hidden="1" x14ac:dyDescent="0.2">
      <c r="B783" s="8">
        <v>44243</v>
      </c>
      <c r="C783" s="9">
        <f t="shared" ca="1" si="48"/>
        <v>17253.988278967361</v>
      </c>
      <c r="D783" s="9">
        <f t="shared" ca="1" si="49"/>
        <v>17413.117480811801</v>
      </c>
      <c r="E783" s="10">
        <f t="shared" ca="1" si="50"/>
        <v>4.3436057734955999E-2</v>
      </c>
      <c r="G783" s="8">
        <v>44243</v>
      </c>
      <c r="H783" s="10">
        <f t="shared" ca="1" si="51"/>
        <v>1.7377467056346369E-2</v>
      </c>
    </row>
    <row r="784" spans="2:8" hidden="1" x14ac:dyDescent="0.2">
      <c r="B784" s="8">
        <v>44244</v>
      </c>
      <c r="C784" s="9">
        <f t="shared" ca="1" si="48"/>
        <v>12928.651865130567</v>
      </c>
      <c r="D784" s="9">
        <f t="shared" ca="1" si="49"/>
        <v>13525.946847205896</v>
      </c>
      <c r="E784" s="10">
        <f t="shared" ca="1" si="50"/>
        <v>0.19451274708417141</v>
      </c>
      <c r="G784" s="8">
        <v>44244</v>
      </c>
      <c r="H784" s="10">
        <f t="shared" ca="1" si="51"/>
        <v>3.9491558549644715E-2</v>
      </c>
    </row>
    <row r="785" spans="2:8" hidden="1" x14ac:dyDescent="0.2">
      <c r="B785" s="8">
        <v>44245</v>
      </c>
      <c r="C785" s="9">
        <f t="shared" ca="1" si="48"/>
        <v>13469.788488689685</v>
      </c>
      <c r="D785" s="9">
        <f t="shared" ca="1" si="49"/>
        <v>13587.684155868892</v>
      </c>
      <c r="E785" s="10">
        <f t="shared" ca="1" si="50"/>
        <v>0.15756123069706032</v>
      </c>
      <c r="G785" s="8">
        <v>44245</v>
      </c>
      <c r="H785" s="10">
        <f t="shared" ca="1" si="51"/>
        <v>5.7597052904042156E-2</v>
      </c>
    </row>
    <row r="786" spans="2:8" hidden="1" x14ac:dyDescent="0.2">
      <c r="B786" s="8">
        <v>44246</v>
      </c>
      <c r="C786" s="9">
        <f t="shared" ca="1" si="48"/>
        <v>11320.356647699018</v>
      </c>
      <c r="D786" s="9">
        <f t="shared" ca="1" si="49"/>
        <v>16753.538502216816</v>
      </c>
      <c r="E786" s="10">
        <f t="shared" ca="1" si="50"/>
        <v>0.29595027814522423</v>
      </c>
      <c r="G786" s="8">
        <v>44246</v>
      </c>
      <c r="H786" s="10">
        <f t="shared" ca="1" si="51"/>
        <v>1.3674097782356261E-2</v>
      </c>
    </row>
    <row r="787" spans="2:8" hidden="1" x14ac:dyDescent="0.2">
      <c r="B787" s="8">
        <v>44247</v>
      </c>
      <c r="C787" s="9">
        <f t="shared" ca="1" si="48"/>
        <v>11579.567104200207</v>
      </c>
      <c r="D787" s="9">
        <f t="shared" ca="1" si="49"/>
        <v>14293.375344988735</v>
      </c>
      <c r="E787" s="10">
        <f t="shared" ca="1" si="50"/>
        <v>0.28913245237402513</v>
      </c>
      <c r="G787" s="8">
        <v>44247</v>
      </c>
      <c r="H787" s="10">
        <f t="shared" ca="1" si="51"/>
        <v>6.4384841210767568E-2</v>
      </c>
    </row>
    <row r="788" spans="2:8" hidden="1" x14ac:dyDescent="0.2">
      <c r="B788" s="8">
        <v>44248</v>
      </c>
      <c r="C788" s="9">
        <f t="shared" ca="1" si="48"/>
        <v>11666.450477892758</v>
      </c>
      <c r="D788" s="9">
        <f t="shared" ca="1" si="49"/>
        <v>16546.05726732625</v>
      </c>
      <c r="E788" s="10">
        <f t="shared" ca="1" si="50"/>
        <v>4.651994316064921E-2</v>
      </c>
      <c r="G788" s="8">
        <v>44248</v>
      </c>
      <c r="H788" s="10">
        <f t="shared" ca="1" si="51"/>
        <v>1.3725776745957111E-2</v>
      </c>
    </row>
    <row r="789" spans="2:8" hidden="1" x14ac:dyDescent="0.2">
      <c r="B789" s="8">
        <v>44249</v>
      </c>
      <c r="C789" s="9">
        <f t="shared" ca="1" si="48"/>
        <v>11500.467694230168</v>
      </c>
      <c r="D789" s="9">
        <f t="shared" ca="1" si="49"/>
        <v>14890.650320688266</v>
      </c>
      <c r="E789" s="10">
        <f t="shared" ca="1" si="50"/>
        <v>8.7620772026255331E-2</v>
      </c>
      <c r="G789" s="8">
        <v>44249</v>
      </c>
      <c r="H789" s="10">
        <f t="shared" ca="1" si="51"/>
        <v>6.0298454282537977E-3</v>
      </c>
    </row>
    <row r="790" spans="2:8" hidden="1" x14ac:dyDescent="0.2">
      <c r="B790" s="8">
        <v>44250</v>
      </c>
      <c r="C790" s="9">
        <f t="shared" ca="1" si="48"/>
        <v>10505.437199309004</v>
      </c>
      <c r="D790" s="9">
        <f t="shared" ca="1" si="49"/>
        <v>13400.756791559068</v>
      </c>
      <c r="E790" s="10">
        <f t="shared" ca="1" si="50"/>
        <v>0.26775449171538968</v>
      </c>
      <c r="G790" s="8">
        <v>44250</v>
      </c>
      <c r="H790" s="10">
        <f t="shared" ca="1" si="51"/>
        <v>5.3895719546370714E-2</v>
      </c>
    </row>
    <row r="791" spans="2:8" hidden="1" x14ac:dyDescent="0.2">
      <c r="B791" s="8">
        <v>44251</v>
      </c>
      <c r="C791" s="9">
        <f t="shared" ca="1" si="48"/>
        <v>12434.543984130793</v>
      </c>
      <c r="D791" s="9">
        <f t="shared" ca="1" si="49"/>
        <v>10569.972305227122</v>
      </c>
      <c r="E791" s="10">
        <f t="shared" ca="1" si="50"/>
        <v>0.23490061330876849</v>
      </c>
      <c r="G791" s="8">
        <v>44251</v>
      </c>
      <c r="H791" s="10">
        <f t="shared" ca="1" si="51"/>
        <v>2.2489016399527512E-2</v>
      </c>
    </row>
    <row r="792" spans="2:8" hidden="1" x14ac:dyDescent="0.2">
      <c r="B792" s="8">
        <v>44252</v>
      </c>
      <c r="C792" s="9">
        <f t="shared" ca="1" si="48"/>
        <v>17828.035526732434</v>
      </c>
      <c r="D792" s="9">
        <f t="shared" ca="1" si="49"/>
        <v>13249.387054304592</v>
      </c>
      <c r="E792" s="10">
        <f t="shared" ca="1" si="50"/>
        <v>6.6669195096013753E-2</v>
      </c>
      <c r="G792" s="8">
        <v>44252</v>
      </c>
      <c r="H792" s="10">
        <f t="shared" ca="1" si="51"/>
        <v>6.2082110295624635E-3</v>
      </c>
    </row>
    <row r="793" spans="2:8" hidden="1" x14ac:dyDescent="0.2">
      <c r="B793" s="8">
        <v>44253</v>
      </c>
      <c r="C793" s="9">
        <f t="shared" ca="1" si="48"/>
        <v>11106.575844863104</v>
      </c>
      <c r="D793" s="9">
        <f t="shared" ca="1" si="49"/>
        <v>14223.346561731685</v>
      </c>
      <c r="E793" s="10">
        <f t="shared" ca="1" si="50"/>
        <v>3.7888277202740774E-2</v>
      </c>
      <c r="G793" s="8">
        <v>44253</v>
      </c>
      <c r="H793" s="10">
        <f t="shared" ca="1" si="51"/>
        <v>2.4057224218333863E-2</v>
      </c>
    </row>
    <row r="794" spans="2:8" hidden="1" x14ac:dyDescent="0.2">
      <c r="B794" s="8">
        <v>44254</v>
      </c>
      <c r="C794" s="9">
        <f t="shared" ca="1" si="48"/>
        <v>15070.3488951326</v>
      </c>
      <c r="D794" s="9">
        <f t="shared" ca="1" si="49"/>
        <v>17970.629781402833</v>
      </c>
      <c r="E794" s="10">
        <f t="shared" ca="1" si="50"/>
        <v>0.29468817198462965</v>
      </c>
      <c r="G794" s="8">
        <v>44254</v>
      </c>
      <c r="H794" s="10">
        <f t="shared" ca="1" si="51"/>
        <v>1.2815832153575457E-2</v>
      </c>
    </row>
    <row r="795" spans="2:8" hidden="1" x14ac:dyDescent="0.2">
      <c r="B795" s="8">
        <v>44255</v>
      </c>
      <c r="C795" s="9">
        <f t="shared" ca="1" si="48"/>
        <v>16133.752745146796</v>
      </c>
      <c r="D795" s="9">
        <f t="shared" ca="1" si="49"/>
        <v>15731.265951866935</v>
      </c>
      <c r="E795" s="10">
        <f t="shared" ca="1" si="50"/>
        <v>0.19297691888576607</v>
      </c>
      <c r="G795" s="8">
        <v>44255</v>
      </c>
      <c r="H795" s="10">
        <f t="shared" ca="1" si="51"/>
        <v>5.1869186612379062E-2</v>
      </c>
    </row>
    <row r="796" spans="2:8" hidden="1" x14ac:dyDescent="0.2">
      <c r="B796" s="8">
        <v>44256</v>
      </c>
      <c r="C796" s="9">
        <f t="shared" ca="1" si="48"/>
        <v>15491.053106283218</v>
      </c>
      <c r="D796" s="9">
        <f t="shared" ca="1" si="49"/>
        <v>14651.792660501313</v>
      </c>
      <c r="E796" s="10">
        <f t="shared" ca="1" si="50"/>
        <v>0.17592826628027039</v>
      </c>
      <c r="G796" s="8">
        <v>44256</v>
      </c>
      <c r="H796" s="10">
        <f t="shared" ca="1" si="51"/>
        <v>4.8976271403509665E-2</v>
      </c>
    </row>
    <row r="797" spans="2:8" hidden="1" x14ac:dyDescent="0.2">
      <c r="B797" s="8">
        <v>44257</v>
      </c>
      <c r="C797" s="9">
        <f t="shared" ca="1" si="48"/>
        <v>16688.631283748844</v>
      </c>
      <c r="D797" s="9">
        <f t="shared" ca="1" si="49"/>
        <v>15212.804128689153</v>
      </c>
      <c r="E797" s="10">
        <f t="shared" ca="1" si="50"/>
        <v>0.24322670835461691</v>
      </c>
      <c r="G797" s="8">
        <v>44257</v>
      </c>
      <c r="H797" s="10">
        <f t="shared" ca="1" si="51"/>
        <v>3.7223939647260756E-2</v>
      </c>
    </row>
    <row r="798" spans="2:8" hidden="1" x14ac:dyDescent="0.2">
      <c r="B798" s="8">
        <v>44258</v>
      </c>
      <c r="C798" s="9">
        <f t="shared" ca="1" si="48"/>
        <v>12086.343052674245</v>
      </c>
      <c r="D798" s="9">
        <f t="shared" ca="1" si="49"/>
        <v>14223.199873961334</v>
      </c>
      <c r="E798" s="10">
        <f t="shared" ca="1" si="50"/>
        <v>6.1031226290052143E-2</v>
      </c>
      <c r="G798" s="8">
        <v>44258</v>
      </c>
      <c r="H798" s="10">
        <f t="shared" ca="1" si="51"/>
        <v>3.9302517564983513E-2</v>
      </c>
    </row>
    <row r="799" spans="2:8" hidden="1" x14ac:dyDescent="0.2">
      <c r="B799" s="8">
        <v>44259</v>
      </c>
      <c r="C799" s="9">
        <f t="shared" ca="1" si="48"/>
        <v>16380.291787269363</v>
      </c>
      <c r="D799" s="9">
        <f t="shared" ca="1" si="49"/>
        <v>16600.785895608999</v>
      </c>
      <c r="E799" s="10">
        <f t="shared" ca="1" si="50"/>
        <v>0.21676906813318358</v>
      </c>
      <c r="G799" s="8">
        <v>44259</v>
      </c>
      <c r="H799" s="10">
        <f t="shared" ca="1" si="51"/>
        <v>5.1258849860422895E-2</v>
      </c>
    </row>
    <row r="800" spans="2:8" hidden="1" x14ac:dyDescent="0.2">
      <c r="B800" s="8">
        <v>44260</v>
      </c>
      <c r="C800" s="9">
        <f t="shared" ca="1" si="48"/>
        <v>10769.356623532442</v>
      </c>
      <c r="D800" s="9">
        <f t="shared" ca="1" si="49"/>
        <v>15229.889185127016</v>
      </c>
      <c r="E800" s="10">
        <f t="shared" ca="1" si="50"/>
        <v>0.25644493975480659</v>
      </c>
      <c r="G800" s="8">
        <v>44260</v>
      </c>
      <c r="H800" s="10">
        <f t="shared" ca="1" si="51"/>
        <v>4.0686501542243701E-2</v>
      </c>
    </row>
    <row r="801" spans="2:8" hidden="1" x14ac:dyDescent="0.2">
      <c r="B801" s="8">
        <v>44261</v>
      </c>
      <c r="C801" s="9">
        <f t="shared" ca="1" si="48"/>
        <v>10043.642009215555</v>
      </c>
      <c r="D801" s="9">
        <f t="shared" ca="1" si="49"/>
        <v>11671.471104493197</v>
      </c>
      <c r="E801" s="10">
        <f t="shared" ca="1" si="50"/>
        <v>0.18433706191315433</v>
      </c>
      <c r="G801" s="8">
        <v>44261</v>
      </c>
      <c r="H801" s="10">
        <f t="shared" ca="1" si="51"/>
        <v>2.8301140857834303E-2</v>
      </c>
    </row>
    <row r="802" spans="2:8" hidden="1" x14ac:dyDescent="0.2">
      <c r="B802" s="8">
        <v>44262</v>
      </c>
      <c r="C802" s="9">
        <f t="shared" ca="1" si="48"/>
        <v>11332.180558785389</v>
      </c>
      <c r="D802" s="9">
        <f t="shared" ca="1" si="49"/>
        <v>11240.446973092312</v>
      </c>
      <c r="E802" s="10">
        <f t="shared" ca="1" si="50"/>
        <v>0.22866989056223894</v>
      </c>
      <c r="G802" s="8">
        <v>44262</v>
      </c>
      <c r="H802" s="10">
        <f t="shared" ca="1" si="51"/>
        <v>5.825466704308347E-2</v>
      </c>
    </row>
    <row r="803" spans="2:8" hidden="1" x14ac:dyDescent="0.2">
      <c r="B803" s="8">
        <v>44263</v>
      </c>
      <c r="C803" s="9">
        <f t="shared" ca="1" si="48"/>
        <v>13754.246556749249</v>
      </c>
      <c r="D803" s="9">
        <f t="shared" ca="1" si="49"/>
        <v>14242.545947609597</v>
      </c>
      <c r="E803" s="10">
        <f t="shared" ca="1" si="50"/>
        <v>5.6044511703443899E-2</v>
      </c>
      <c r="G803" s="8">
        <v>44263</v>
      </c>
      <c r="H803" s="10">
        <f t="shared" ca="1" si="51"/>
        <v>6.6447154305516509E-2</v>
      </c>
    </row>
    <row r="804" spans="2:8" hidden="1" x14ac:dyDescent="0.2">
      <c r="B804" s="8">
        <v>44264</v>
      </c>
      <c r="C804" s="9">
        <f t="shared" ca="1" si="48"/>
        <v>15582.017525350268</v>
      </c>
      <c r="D804" s="9">
        <f t="shared" ca="1" si="49"/>
        <v>13256.803648746311</v>
      </c>
      <c r="E804" s="10">
        <f t="shared" ca="1" si="50"/>
        <v>0.17827788616103021</v>
      </c>
      <c r="G804" s="8">
        <v>44264</v>
      </c>
      <c r="H804" s="10">
        <f t="shared" ca="1" si="51"/>
        <v>3.6966606436145369E-2</v>
      </c>
    </row>
    <row r="805" spans="2:8" hidden="1" x14ac:dyDescent="0.2">
      <c r="B805" s="8">
        <v>44265</v>
      </c>
      <c r="C805" s="9">
        <f t="shared" ca="1" si="48"/>
        <v>17968.301715585898</v>
      </c>
      <c r="D805" s="9">
        <f t="shared" ca="1" si="49"/>
        <v>14539.934939788713</v>
      </c>
      <c r="E805" s="10">
        <f t="shared" ca="1" si="50"/>
        <v>4.7604352004891916E-2</v>
      </c>
      <c r="G805" s="8">
        <v>44265</v>
      </c>
      <c r="H805" s="10">
        <f t="shared" ca="1" si="51"/>
        <v>6.7461640239033449E-2</v>
      </c>
    </row>
    <row r="806" spans="2:8" hidden="1" x14ac:dyDescent="0.2">
      <c r="B806" s="8">
        <v>44266</v>
      </c>
      <c r="C806" s="9">
        <f t="shared" ca="1" si="48"/>
        <v>13718.743443296069</v>
      </c>
      <c r="D806" s="9">
        <f t="shared" ca="1" si="49"/>
        <v>11455.124191025099</v>
      </c>
      <c r="E806" s="10">
        <f t="shared" ca="1" si="50"/>
        <v>3.6958573329834653E-3</v>
      </c>
      <c r="G806" s="8">
        <v>44266</v>
      </c>
      <c r="H806" s="10">
        <f t="shared" ca="1" si="51"/>
        <v>2.1571859658146893E-2</v>
      </c>
    </row>
    <row r="807" spans="2:8" hidden="1" x14ac:dyDescent="0.2">
      <c r="B807" s="8">
        <v>44267</v>
      </c>
      <c r="C807" s="9">
        <f t="shared" ca="1" si="48"/>
        <v>10115.067129710184</v>
      </c>
      <c r="D807" s="9">
        <f t="shared" ca="1" si="49"/>
        <v>12183.898528515507</v>
      </c>
      <c r="E807" s="10">
        <f t="shared" ca="1" si="50"/>
        <v>0.21220645342971875</v>
      </c>
      <c r="G807" s="8">
        <v>44267</v>
      </c>
      <c r="H807" s="10">
        <f t="shared" ca="1" si="51"/>
        <v>3.7977858853549387E-2</v>
      </c>
    </row>
    <row r="808" spans="2:8" hidden="1" x14ac:dyDescent="0.2">
      <c r="B808" s="8">
        <v>44268</v>
      </c>
      <c r="C808" s="9">
        <f t="shared" ca="1" si="48"/>
        <v>15106.664180183008</v>
      </c>
      <c r="D808" s="9">
        <f t="shared" ca="1" si="49"/>
        <v>15870.874298027709</v>
      </c>
      <c r="E808" s="10">
        <f t="shared" ca="1" si="50"/>
        <v>4.7538107479985658E-2</v>
      </c>
      <c r="G808" s="8">
        <v>44268</v>
      </c>
      <c r="H808" s="10">
        <f t="shared" ca="1" si="51"/>
        <v>1.6011522319964045E-2</v>
      </c>
    </row>
    <row r="809" spans="2:8" hidden="1" x14ac:dyDescent="0.2">
      <c r="B809" s="8">
        <v>44269</v>
      </c>
      <c r="C809" s="9">
        <f t="shared" ca="1" si="48"/>
        <v>15112.863548210444</v>
      </c>
      <c r="D809" s="9">
        <f t="shared" ca="1" si="49"/>
        <v>14982.407863462777</v>
      </c>
      <c r="E809" s="10">
        <f t="shared" ca="1" si="50"/>
        <v>0.182171024807602</v>
      </c>
      <c r="G809" s="8">
        <v>44269</v>
      </c>
      <c r="H809" s="10">
        <f t="shared" ca="1" si="51"/>
        <v>6.8817049970318095E-2</v>
      </c>
    </row>
    <row r="810" spans="2:8" hidden="1" x14ac:dyDescent="0.2">
      <c r="B810" s="8">
        <v>44270</v>
      </c>
      <c r="C810" s="9">
        <f t="shared" ca="1" si="48"/>
        <v>17050.502687305496</v>
      </c>
      <c r="D810" s="9">
        <f t="shared" ca="1" si="49"/>
        <v>17750.236879622669</v>
      </c>
      <c r="E810" s="10">
        <f t="shared" ca="1" si="50"/>
        <v>0.22523243136296417</v>
      </c>
      <c r="G810" s="8">
        <v>44270</v>
      </c>
      <c r="H810" s="10">
        <f t="shared" ca="1" si="51"/>
        <v>6.2132707833341516E-2</v>
      </c>
    </row>
    <row r="811" spans="2:8" hidden="1" x14ac:dyDescent="0.2">
      <c r="B811" s="8">
        <v>44271</v>
      </c>
      <c r="C811" s="9">
        <f t="shared" ca="1" si="48"/>
        <v>13574.417947338956</v>
      </c>
      <c r="D811" s="9">
        <f t="shared" ca="1" si="49"/>
        <v>10558.617249852985</v>
      </c>
      <c r="E811" s="10">
        <f t="shared" ca="1" si="50"/>
        <v>0.23134276378228247</v>
      </c>
      <c r="G811" s="8">
        <v>44271</v>
      </c>
      <c r="H811" s="10">
        <f t="shared" ca="1" si="51"/>
        <v>5.9775626236903915E-3</v>
      </c>
    </row>
    <row r="812" spans="2:8" hidden="1" x14ac:dyDescent="0.2">
      <c r="B812" s="8">
        <v>44272</v>
      </c>
      <c r="C812" s="9">
        <f t="shared" ca="1" si="48"/>
        <v>12187.085346453492</v>
      </c>
      <c r="D812" s="9">
        <f t="shared" ca="1" si="49"/>
        <v>10480.213364098858</v>
      </c>
      <c r="E812" s="10">
        <f t="shared" ca="1" si="50"/>
        <v>0.29201398562028702</v>
      </c>
      <c r="G812" s="8">
        <v>44272</v>
      </c>
      <c r="H812" s="10">
        <f t="shared" ca="1" si="51"/>
        <v>5.8664535473260775E-3</v>
      </c>
    </row>
    <row r="813" spans="2:8" hidden="1" x14ac:dyDescent="0.2">
      <c r="B813" s="8">
        <v>44273</v>
      </c>
      <c r="C813" s="9">
        <f t="shared" ca="1" si="48"/>
        <v>17883.706523675908</v>
      </c>
      <c r="D813" s="9">
        <f t="shared" ca="1" si="49"/>
        <v>14662.214363021214</v>
      </c>
      <c r="E813" s="10">
        <f t="shared" ca="1" si="50"/>
        <v>6.9041296976699959E-2</v>
      </c>
      <c r="G813" s="8">
        <v>44273</v>
      </c>
      <c r="H813" s="10">
        <f t="shared" ca="1" si="51"/>
        <v>5.7975323507350879E-3</v>
      </c>
    </row>
    <row r="814" spans="2:8" hidden="1" x14ac:dyDescent="0.2">
      <c r="B814" s="8">
        <v>44274</v>
      </c>
      <c r="C814" s="9">
        <f t="shared" ca="1" si="48"/>
        <v>14910.693063132327</v>
      </c>
      <c r="D814" s="9">
        <f t="shared" ca="1" si="49"/>
        <v>17061.85197486472</v>
      </c>
      <c r="E814" s="10">
        <f t="shared" ca="1" si="50"/>
        <v>7.6268970586787048E-3</v>
      </c>
      <c r="G814" s="8">
        <v>44274</v>
      </c>
      <c r="H814" s="10">
        <f t="shared" ca="1" si="51"/>
        <v>4.6518029729547022E-2</v>
      </c>
    </row>
    <row r="815" spans="2:8" hidden="1" x14ac:dyDescent="0.2">
      <c r="B815" s="8">
        <v>44275</v>
      </c>
      <c r="C815" s="9">
        <f t="shared" ca="1" si="48"/>
        <v>11124.468901607976</v>
      </c>
      <c r="D815" s="9">
        <f t="shared" ca="1" si="49"/>
        <v>14264.0247047868</v>
      </c>
      <c r="E815" s="10">
        <f t="shared" ca="1" si="50"/>
        <v>0.16860180349972229</v>
      </c>
      <c r="G815" s="8">
        <v>44275</v>
      </c>
      <c r="H815" s="10">
        <f t="shared" ca="1" si="51"/>
        <v>4.6887502351970013E-2</v>
      </c>
    </row>
    <row r="816" spans="2:8" hidden="1" x14ac:dyDescent="0.2">
      <c r="B816" s="8">
        <v>44276</v>
      </c>
      <c r="C816" s="9">
        <f t="shared" ca="1" si="48"/>
        <v>14106.740685263185</v>
      </c>
      <c r="D816" s="9">
        <f t="shared" ca="1" si="49"/>
        <v>14246.070309801955</v>
      </c>
      <c r="E816" s="10">
        <f t="shared" ca="1" si="50"/>
        <v>0.18491828090631168</v>
      </c>
      <c r="G816" s="8">
        <v>44276</v>
      </c>
      <c r="H816" s="10">
        <f t="shared" ca="1" si="51"/>
        <v>1.6258956545134536E-2</v>
      </c>
    </row>
    <row r="817" spans="2:8" hidden="1" x14ac:dyDescent="0.2">
      <c r="B817" s="8">
        <v>44277</v>
      </c>
      <c r="C817" s="9">
        <f t="shared" ca="1" si="48"/>
        <v>11990.863161601495</v>
      </c>
      <c r="D817" s="9">
        <f t="shared" ca="1" si="49"/>
        <v>10651.242892733166</v>
      </c>
      <c r="E817" s="10">
        <f t="shared" ca="1" si="50"/>
        <v>0.29355519839786148</v>
      </c>
      <c r="G817" s="8">
        <v>44277</v>
      </c>
      <c r="H817" s="10">
        <f t="shared" ca="1" si="51"/>
        <v>2.805626152479335E-2</v>
      </c>
    </row>
    <row r="818" spans="2:8" hidden="1" x14ac:dyDescent="0.2">
      <c r="B818" s="8">
        <v>44278</v>
      </c>
      <c r="C818" s="9">
        <f t="shared" ca="1" si="48"/>
        <v>15043.361427692951</v>
      </c>
      <c r="D818" s="9">
        <f t="shared" ca="1" si="49"/>
        <v>13013.33684875453</v>
      </c>
      <c r="E818" s="10">
        <f t="shared" ca="1" si="50"/>
        <v>0.25695803211690416</v>
      </c>
      <c r="G818" s="8">
        <v>44278</v>
      </c>
      <c r="H818" s="10">
        <f t="shared" ca="1" si="51"/>
        <v>1.1934952071379071E-2</v>
      </c>
    </row>
    <row r="819" spans="2:8" hidden="1" x14ac:dyDescent="0.2">
      <c r="B819" s="8">
        <v>44279</v>
      </c>
      <c r="C819" s="9">
        <f t="shared" ca="1" si="48"/>
        <v>11015.829946461225</v>
      </c>
      <c r="D819" s="9">
        <f t="shared" ca="1" si="49"/>
        <v>16806.207403529836</v>
      </c>
      <c r="E819" s="10">
        <f t="shared" ca="1" si="50"/>
        <v>0.23922466077311444</v>
      </c>
      <c r="G819" s="8">
        <v>44279</v>
      </c>
      <c r="H819" s="10">
        <f t="shared" ca="1" si="51"/>
        <v>4.3055626302432393E-3</v>
      </c>
    </row>
    <row r="820" spans="2:8" hidden="1" x14ac:dyDescent="0.2">
      <c r="B820" s="8">
        <v>44280</v>
      </c>
      <c r="C820" s="9">
        <f t="shared" ca="1" si="48"/>
        <v>15167.919547681406</v>
      </c>
      <c r="D820" s="9">
        <f t="shared" ca="1" si="49"/>
        <v>13908.992558448455</v>
      </c>
      <c r="E820" s="10">
        <f t="shared" ca="1" si="50"/>
        <v>7.1026974781933719E-2</v>
      </c>
      <c r="G820" s="8">
        <v>44280</v>
      </c>
      <c r="H820" s="10">
        <f t="shared" ca="1" si="51"/>
        <v>4.826354359364006E-2</v>
      </c>
    </row>
    <row r="821" spans="2:8" hidden="1" x14ac:dyDescent="0.2">
      <c r="B821" s="8">
        <v>44281</v>
      </c>
      <c r="C821" s="9">
        <f t="shared" ca="1" si="48"/>
        <v>14979.147607421855</v>
      </c>
      <c r="D821" s="9">
        <f t="shared" ca="1" si="49"/>
        <v>14301.33994268666</v>
      </c>
      <c r="E821" s="10">
        <f t="shared" ca="1" si="50"/>
        <v>9.769270501642531E-2</v>
      </c>
      <c r="G821" s="8">
        <v>44281</v>
      </c>
      <c r="H821" s="10">
        <f t="shared" ca="1" si="51"/>
        <v>4.9777779421023662E-2</v>
      </c>
    </row>
    <row r="822" spans="2:8" hidden="1" x14ac:dyDescent="0.2">
      <c r="B822" s="8">
        <v>44282</v>
      </c>
      <c r="C822" s="9">
        <f t="shared" ca="1" si="48"/>
        <v>16276.974515886493</v>
      </c>
      <c r="D822" s="9">
        <f t="shared" ca="1" si="49"/>
        <v>16269.194707261388</v>
      </c>
      <c r="E822" s="10">
        <f t="shared" ca="1" si="50"/>
        <v>0.23856057538389322</v>
      </c>
      <c r="G822" s="8">
        <v>44282</v>
      </c>
      <c r="H822" s="10">
        <f t="shared" ca="1" si="51"/>
        <v>6.3393504183279006E-2</v>
      </c>
    </row>
    <row r="823" spans="2:8" hidden="1" x14ac:dyDescent="0.2">
      <c r="B823" s="8">
        <v>44283</v>
      </c>
      <c r="C823" s="9">
        <f t="shared" ca="1" si="48"/>
        <v>16944.35405707774</v>
      </c>
      <c r="D823" s="9">
        <f t="shared" ca="1" si="49"/>
        <v>12538.37456439818</v>
      </c>
      <c r="E823" s="10">
        <f t="shared" ca="1" si="50"/>
        <v>0.12461961106921911</v>
      </c>
      <c r="G823" s="8">
        <v>44283</v>
      </c>
      <c r="H823" s="10">
        <f t="shared" ca="1" si="51"/>
        <v>4.2740684534441575E-2</v>
      </c>
    </row>
    <row r="824" spans="2:8" hidden="1" x14ac:dyDescent="0.2">
      <c r="B824" s="8">
        <v>44284</v>
      </c>
      <c r="C824" s="9">
        <f t="shared" ca="1" si="48"/>
        <v>17951.314179243578</v>
      </c>
      <c r="D824" s="9">
        <f t="shared" ca="1" si="49"/>
        <v>17208.711632661183</v>
      </c>
      <c r="E824" s="10">
        <f t="shared" ca="1" si="50"/>
        <v>0.20340460579323702</v>
      </c>
      <c r="G824" s="8">
        <v>44284</v>
      </c>
      <c r="H824" s="10">
        <f t="shared" ca="1" si="51"/>
        <v>1.7625210029405425E-2</v>
      </c>
    </row>
    <row r="825" spans="2:8" hidden="1" x14ac:dyDescent="0.2">
      <c r="B825" s="8">
        <v>44285</v>
      </c>
      <c r="C825" s="9">
        <f t="shared" ca="1" si="48"/>
        <v>10313.264298618518</v>
      </c>
      <c r="D825" s="9">
        <f t="shared" ca="1" si="49"/>
        <v>12869.010318365094</v>
      </c>
      <c r="E825" s="10">
        <f t="shared" ca="1" si="50"/>
        <v>0.20401276235971025</v>
      </c>
      <c r="G825" s="8">
        <v>44285</v>
      </c>
      <c r="H825" s="10">
        <f t="shared" ca="1" si="51"/>
        <v>6.6152290166672997E-2</v>
      </c>
    </row>
    <row r="826" spans="2:8" hidden="1" x14ac:dyDescent="0.2">
      <c r="B826" s="8">
        <v>44286</v>
      </c>
      <c r="C826" s="9">
        <f t="shared" ca="1" si="48"/>
        <v>12213.844903321613</v>
      </c>
      <c r="D826" s="9">
        <f t="shared" ca="1" si="49"/>
        <v>11267.22572831359</v>
      </c>
      <c r="E826" s="10">
        <f t="shared" ca="1" si="50"/>
        <v>8.8925425579069975E-2</v>
      </c>
      <c r="G826" s="8">
        <v>44286</v>
      </c>
      <c r="H826" s="10">
        <f t="shared" ca="1" si="51"/>
        <v>4.0436652657021982E-2</v>
      </c>
    </row>
    <row r="827" spans="2:8" hidden="1" x14ac:dyDescent="0.2">
      <c r="B827" s="8">
        <v>44287</v>
      </c>
      <c r="C827" s="9">
        <f t="shared" ca="1" si="48"/>
        <v>13711.825134673287</v>
      </c>
      <c r="D827" s="9">
        <f t="shared" ca="1" si="49"/>
        <v>17774.674984136698</v>
      </c>
      <c r="E827" s="10">
        <f t="shared" ca="1" si="50"/>
        <v>8.0099396487704824E-2</v>
      </c>
      <c r="G827" s="8">
        <v>44287</v>
      </c>
      <c r="H827" s="10">
        <f t="shared" ca="1" si="51"/>
        <v>6.1722831146024705E-2</v>
      </c>
    </row>
    <row r="828" spans="2:8" hidden="1" x14ac:dyDescent="0.2">
      <c r="B828" s="8">
        <v>44288</v>
      </c>
      <c r="C828" s="9">
        <f t="shared" ca="1" si="48"/>
        <v>10171.430963992156</v>
      </c>
      <c r="D828" s="9">
        <f t="shared" ca="1" si="49"/>
        <v>15799.065574545011</v>
      </c>
      <c r="E828" s="10">
        <f t="shared" ca="1" si="50"/>
        <v>0.14158227302791812</v>
      </c>
      <c r="G828" s="8">
        <v>44288</v>
      </c>
      <c r="H828" s="10">
        <f t="shared" ca="1" si="51"/>
        <v>1.2902593413454504E-2</v>
      </c>
    </row>
    <row r="829" spans="2:8" hidden="1" x14ac:dyDescent="0.2">
      <c r="B829" s="8">
        <v>44289</v>
      </c>
      <c r="C829" s="9">
        <f t="shared" ca="1" si="48"/>
        <v>15114.107151878667</v>
      </c>
      <c r="D829" s="9">
        <f t="shared" ca="1" si="49"/>
        <v>15041.544011630704</v>
      </c>
      <c r="E829" s="10">
        <f t="shared" ca="1" si="50"/>
        <v>0.26735046646888672</v>
      </c>
      <c r="G829" s="8">
        <v>44289</v>
      </c>
      <c r="H829" s="10">
        <f t="shared" ca="1" si="51"/>
        <v>5.5497266270537117E-2</v>
      </c>
    </row>
    <row r="830" spans="2:8" hidden="1" x14ac:dyDescent="0.2">
      <c r="B830" s="8">
        <v>44290</v>
      </c>
      <c r="C830" s="9">
        <f t="shared" ca="1" si="48"/>
        <v>10447.140491857268</v>
      </c>
      <c r="D830" s="9">
        <f t="shared" ca="1" si="49"/>
        <v>16258.038923751978</v>
      </c>
      <c r="E830" s="10">
        <f t="shared" ca="1" si="50"/>
        <v>0.1104905148254683</v>
      </c>
      <c r="G830" s="8">
        <v>44290</v>
      </c>
      <c r="H830" s="10">
        <f t="shared" ca="1" si="51"/>
        <v>2.6403650390178088E-2</v>
      </c>
    </row>
    <row r="831" spans="2:8" hidden="1" x14ac:dyDescent="0.2">
      <c r="B831" s="8">
        <v>44291</v>
      </c>
      <c r="C831" s="9">
        <f t="shared" ca="1" si="48"/>
        <v>17238.594204979694</v>
      </c>
      <c r="D831" s="9">
        <f t="shared" ca="1" si="49"/>
        <v>12126.655503210579</v>
      </c>
      <c r="E831" s="10">
        <f t="shared" ca="1" si="50"/>
        <v>0.21277141711617578</v>
      </c>
      <c r="G831" s="8">
        <v>44291</v>
      </c>
      <c r="H831" s="10">
        <f t="shared" ca="1" si="51"/>
        <v>3.3031714233390151E-2</v>
      </c>
    </row>
    <row r="832" spans="2:8" hidden="1" x14ac:dyDescent="0.2">
      <c r="B832" s="8">
        <v>44292</v>
      </c>
      <c r="C832" s="9">
        <f t="shared" ca="1" si="48"/>
        <v>17061.164568872628</v>
      </c>
      <c r="D832" s="9">
        <f t="shared" ca="1" si="49"/>
        <v>13632.161521448852</v>
      </c>
      <c r="E832" s="10">
        <f t="shared" ca="1" si="50"/>
        <v>0.2272290742412236</v>
      </c>
      <c r="G832" s="8">
        <v>44292</v>
      </c>
      <c r="H832" s="10">
        <f t="shared" ca="1" si="51"/>
        <v>2.1597879808483874E-2</v>
      </c>
    </row>
    <row r="833" spans="2:8" hidden="1" x14ac:dyDescent="0.2">
      <c r="B833" s="8">
        <v>44293</v>
      </c>
      <c r="C833" s="9">
        <f t="shared" ca="1" si="48"/>
        <v>17970.379588120079</v>
      </c>
      <c r="D833" s="9">
        <f t="shared" ca="1" si="49"/>
        <v>13679.512904524505</v>
      </c>
      <c r="E833" s="10">
        <f t="shared" ca="1" si="50"/>
        <v>0.1954764586930344</v>
      </c>
      <c r="G833" s="8">
        <v>44293</v>
      </c>
      <c r="H833" s="10">
        <f t="shared" ca="1" si="51"/>
        <v>6.7114876249077318E-2</v>
      </c>
    </row>
    <row r="834" spans="2:8" hidden="1" x14ac:dyDescent="0.2">
      <c r="B834" s="8">
        <v>44294</v>
      </c>
      <c r="C834" s="9">
        <f t="shared" ca="1" si="48"/>
        <v>10100.059516559175</v>
      </c>
      <c r="D834" s="9">
        <f t="shared" ca="1" si="49"/>
        <v>13850.595272349507</v>
      </c>
      <c r="E834" s="10">
        <f t="shared" ca="1" si="50"/>
        <v>0.27388870632359424</v>
      </c>
      <c r="G834" s="8">
        <v>44294</v>
      </c>
      <c r="H834" s="10">
        <f t="shared" ca="1" si="51"/>
        <v>6.2366237424723962E-2</v>
      </c>
    </row>
    <row r="835" spans="2:8" hidden="1" x14ac:dyDescent="0.2">
      <c r="B835" s="8">
        <v>44295</v>
      </c>
      <c r="C835" s="9">
        <f t="shared" ca="1" si="48"/>
        <v>17506.125367741981</v>
      </c>
      <c r="D835" s="9">
        <f t="shared" ca="1" si="49"/>
        <v>17553.708383369543</v>
      </c>
      <c r="E835" s="10">
        <f t="shared" ca="1" si="50"/>
        <v>5.7811493687445724E-2</v>
      </c>
      <c r="G835" s="8">
        <v>44295</v>
      </c>
      <c r="H835" s="10">
        <f t="shared" ca="1" si="51"/>
        <v>3.5401336597606581E-2</v>
      </c>
    </row>
    <row r="836" spans="2:8" hidden="1" x14ac:dyDescent="0.2">
      <c r="B836" s="8">
        <v>44296</v>
      </c>
      <c r="C836" s="9">
        <f t="shared" ca="1" si="48"/>
        <v>12645.422068172891</v>
      </c>
      <c r="D836" s="9">
        <f t="shared" ca="1" si="49"/>
        <v>10270.105821557276</v>
      </c>
      <c r="E836" s="10">
        <f t="shared" ca="1" si="50"/>
        <v>6.8251892886377549E-2</v>
      </c>
      <c r="G836" s="8">
        <v>44296</v>
      </c>
      <c r="H836" s="10">
        <f t="shared" ca="1" si="51"/>
        <v>1.3902101917454893E-2</v>
      </c>
    </row>
    <row r="837" spans="2:8" hidden="1" x14ac:dyDescent="0.2">
      <c r="B837" s="8">
        <v>44297</v>
      </c>
      <c r="C837" s="9">
        <f t="shared" ca="1" si="48"/>
        <v>11539.059294287856</v>
      </c>
      <c r="D837" s="9">
        <f t="shared" ca="1" si="49"/>
        <v>10496.615582050636</v>
      </c>
      <c r="E837" s="10">
        <f t="shared" ca="1" si="50"/>
        <v>8.1885688666575501E-2</v>
      </c>
      <c r="G837" s="8">
        <v>44297</v>
      </c>
      <c r="H837" s="10">
        <f t="shared" ca="1" si="51"/>
        <v>5.8436669938098937E-3</v>
      </c>
    </row>
    <row r="838" spans="2:8" hidden="1" x14ac:dyDescent="0.2">
      <c r="B838" s="8">
        <v>44298</v>
      </c>
      <c r="C838" s="9">
        <f t="shared" ca="1" si="48"/>
        <v>16598.45468701635</v>
      </c>
      <c r="D838" s="9">
        <f t="shared" ca="1" si="49"/>
        <v>14793.267298830697</v>
      </c>
      <c r="E838" s="10">
        <f t="shared" ca="1" si="50"/>
        <v>0.16792412332719994</v>
      </c>
      <c r="G838" s="8">
        <v>44298</v>
      </c>
      <c r="H838" s="10">
        <f t="shared" ca="1" si="51"/>
        <v>2.8059969396518714E-2</v>
      </c>
    </row>
    <row r="839" spans="2:8" hidden="1" x14ac:dyDescent="0.2">
      <c r="B839" s="8">
        <v>44299</v>
      </c>
      <c r="C839" s="9">
        <f t="shared" ref="C839:C902" ca="1" si="52">RAND()*(18000-10000)+10000</f>
        <v>17509.749899481958</v>
      </c>
      <c r="D839" s="9">
        <f t="shared" ref="D839:D902" ca="1" si="53">RAND()*(18000-10000)+10000</f>
        <v>12526.26461149153</v>
      </c>
      <c r="E839" s="10">
        <f t="shared" ref="E839:E902" ca="1" si="54">RAND()*(30%-0%)+0%</f>
        <v>0.11788757858444954</v>
      </c>
      <c r="G839" s="8">
        <v>44299</v>
      </c>
      <c r="H839" s="10">
        <f t="shared" ref="H839:H902" ca="1" si="55">RAND()*(7%-0%)+0%</f>
        <v>5.0712472768733403E-3</v>
      </c>
    </row>
    <row r="840" spans="2:8" hidden="1" x14ac:dyDescent="0.2">
      <c r="B840" s="8">
        <v>44300</v>
      </c>
      <c r="C840" s="9">
        <f t="shared" ca="1" si="52"/>
        <v>13328.386997317617</v>
      </c>
      <c r="D840" s="9">
        <f t="shared" ca="1" si="53"/>
        <v>17147.566410095897</v>
      </c>
      <c r="E840" s="10">
        <f t="shared" ca="1" si="54"/>
        <v>9.1507125428063156E-3</v>
      </c>
      <c r="G840" s="8">
        <v>44300</v>
      </c>
      <c r="H840" s="10">
        <f t="shared" ca="1" si="55"/>
        <v>2.2315574835945318E-2</v>
      </c>
    </row>
    <row r="841" spans="2:8" hidden="1" x14ac:dyDescent="0.2">
      <c r="B841" s="8">
        <v>44301</v>
      </c>
      <c r="C841" s="9">
        <f t="shared" ca="1" si="52"/>
        <v>11897.351587561428</v>
      </c>
      <c r="D841" s="9">
        <f t="shared" ca="1" si="53"/>
        <v>17974.226430824092</v>
      </c>
      <c r="E841" s="10">
        <f t="shared" ca="1" si="54"/>
        <v>9.7377788735051915E-2</v>
      </c>
      <c r="G841" s="8">
        <v>44301</v>
      </c>
      <c r="H841" s="10">
        <f t="shared" ca="1" si="55"/>
        <v>4.5304143863965113E-2</v>
      </c>
    </row>
    <row r="842" spans="2:8" hidden="1" x14ac:dyDescent="0.2">
      <c r="B842" s="8">
        <v>44302</v>
      </c>
      <c r="C842" s="9">
        <f t="shared" ca="1" si="52"/>
        <v>13894.858323969445</v>
      </c>
      <c r="D842" s="9">
        <f t="shared" ca="1" si="53"/>
        <v>17036.26209744902</v>
      </c>
      <c r="E842" s="10">
        <f t="shared" ca="1" si="54"/>
        <v>8.3358309637378128E-2</v>
      </c>
      <c r="G842" s="8">
        <v>44302</v>
      </c>
      <c r="H842" s="10">
        <f t="shared" ca="1" si="55"/>
        <v>6.9018324338720835E-2</v>
      </c>
    </row>
    <row r="843" spans="2:8" hidden="1" x14ac:dyDescent="0.2">
      <c r="B843" s="8">
        <v>44303</v>
      </c>
      <c r="C843" s="9">
        <f t="shared" ca="1" si="52"/>
        <v>16214.331220618316</v>
      </c>
      <c r="D843" s="9">
        <f t="shared" ca="1" si="53"/>
        <v>14501.930494561977</v>
      </c>
      <c r="E843" s="10">
        <f t="shared" ca="1" si="54"/>
        <v>0.20660204158386775</v>
      </c>
      <c r="G843" s="8">
        <v>44303</v>
      </c>
      <c r="H843" s="10">
        <f t="shared" ca="1" si="55"/>
        <v>1.6674323033093259E-2</v>
      </c>
    </row>
    <row r="844" spans="2:8" hidden="1" x14ac:dyDescent="0.2">
      <c r="B844" s="8">
        <v>44304</v>
      </c>
      <c r="C844" s="9">
        <f t="shared" ca="1" si="52"/>
        <v>11931.359375743174</v>
      </c>
      <c r="D844" s="9">
        <f t="shared" ca="1" si="53"/>
        <v>12687.907771192849</v>
      </c>
      <c r="E844" s="10">
        <f t="shared" ca="1" si="54"/>
        <v>0.20037549552616968</v>
      </c>
      <c r="G844" s="8">
        <v>44304</v>
      </c>
      <c r="H844" s="10">
        <f t="shared" ca="1" si="55"/>
        <v>6.0041985093349771E-2</v>
      </c>
    </row>
    <row r="845" spans="2:8" hidden="1" x14ac:dyDescent="0.2">
      <c r="B845" s="8">
        <v>44305</v>
      </c>
      <c r="C845" s="9">
        <f t="shared" ca="1" si="52"/>
        <v>13330.381499684516</v>
      </c>
      <c r="D845" s="9">
        <f t="shared" ca="1" si="53"/>
        <v>14363.747156741698</v>
      </c>
      <c r="E845" s="10">
        <f t="shared" ca="1" si="54"/>
        <v>0.18601076336927502</v>
      </c>
      <c r="G845" s="8">
        <v>44305</v>
      </c>
      <c r="H845" s="10">
        <f t="shared" ca="1" si="55"/>
        <v>5.4384745272032381E-2</v>
      </c>
    </row>
    <row r="846" spans="2:8" hidden="1" x14ac:dyDescent="0.2">
      <c r="B846" s="8">
        <v>44306</v>
      </c>
      <c r="C846" s="9">
        <f t="shared" ca="1" si="52"/>
        <v>14441.363004113457</v>
      </c>
      <c r="D846" s="9">
        <f t="shared" ca="1" si="53"/>
        <v>10099.518326570786</v>
      </c>
      <c r="E846" s="10">
        <f t="shared" ca="1" si="54"/>
        <v>7.7253976015356676E-2</v>
      </c>
      <c r="G846" s="8">
        <v>44306</v>
      </c>
      <c r="H846" s="10">
        <f t="shared" ca="1" si="55"/>
        <v>6.6404167426812946E-2</v>
      </c>
    </row>
    <row r="847" spans="2:8" hidden="1" x14ac:dyDescent="0.2">
      <c r="B847" s="8">
        <v>44307</v>
      </c>
      <c r="C847" s="9">
        <f t="shared" ca="1" si="52"/>
        <v>12171.228740980147</v>
      </c>
      <c r="D847" s="9">
        <f t="shared" ca="1" si="53"/>
        <v>11529.353924193358</v>
      </c>
      <c r="E847" s="10">
        <f t="shared" ca="1" si="54"/>
        <v>0.13421557939099046</v>
      </c>
      <c r="G847" s="8">
        <v>44307</v>
      </c>
      <c r="H847" s="10">
        <f t="shared" ca="1" si="55"/>
        <v>6.2900915682413294E-2</v>
      </c>
    </row>
    <row r="848" spans="2:8" hidden="1" x14ac:dyDescent="0.2">
      <c r="B848" s="8">
        <v>44308</v>
      </c>
      <c r="C848" s="9">
        <f t="shared" ca="1" si="52"/>
        <v>17534.189316668613</v>
      </c>
      <c r="D848" s="9">
        <f t="shared" ca="1" si="53"/>
        <v>17680.931528651083</v>
      </c>
      <c r="E848" s="10">
        <f t="shared" ca="1" si="54"/>
        <v>0.13093355469477203</v>
      </c>
      <c r="G848" s="8">
        <v>44308</v>
      </c>
      <c r="H848" s="10">
        <f t="shared" ca="1" si="55"/>
        <v>5.9633603155733891E-2</v>
      </c>
    </row>
    <row r="849" spans="2:8" hidden="1" x14ac:dyDescent="0.2">
      <c r="B849" s="8">
        <v>44309</v>
      </c>
      <c r="C849" s="9">
        <f t="shared" ca="1" si="52"/>
        <v>10472.521913372144</v>
      </c>
      <c r="D849" s="9">
        <f t="shared" ca="1" si="53"/>
        <v>16849.014331745482</v>
      </c>
      <c r="E849" s="10">
        <f t="shared" ca="1" si="54"/>
        <v>0.25051509430143759</v>
      </c>
      <c r="G849" s="8">
        <v>44309</v>
      </c>
      <c r="H849" s="10">
        <f t="shared" ca="1" si="55"/>
        <v>2.0542118909603604E-3</v>
      </c>
    </row>
    <row r="850" spans="2:8" hidden="1" x14ac:dyDescent="0.2">
      <c r="B850" s="8">
        <v>44310</v>
      </c>
      <c r="C850" s="9">
        <f t="shared" ca="1" si="52"/>
        <v>14163.831095206904</v>
      </c>
      <c r="D850" s="9">
        <f t="shared" ca="1" si="53"/>
        <v>13373.522915068028</v>
      </c>
      <c r="E850" s="10">
        <f t="shared" ca="1" si="54"/>
        <v>0.13482982580145242</v>
      </c>
      <c r="G850" s="8">
        <v>44310</v>
      </c>
      <c r="H850" s="10">
        <f t="shared" ca="1" si="55"/>
        <v>5.8554152007490756E-2</v>
      </c>
    </row>
    <row r="851" spans="2:8" hidden="1" x14ac:dyDescent="0.2">
      <c r="B851" s="8">
        <v>44311</v>
      </c>
      <c r="C851" s="9">
        <f t="shared" ca="1" si="52"/>
        <v>15327.765449861072</v>
      </c>
      <c r="D851" s="9">
        <f t="shared" ca="1" si="53"/>
        <v>10137.604645820153</v>
      </c>
      <c r="E851" s="10">
        <f t="shared" ca="1" si="54"/>
        <v>0.20592633149979894</v>
      </c>
      <c r="G851" s="8">
        <v>44311</v>
      </c>
      <c r="H851" s="10">
        <f t="shared" ca="1" si="55"/>
        <v>6.5283256165679399E-2</v>
      </c>
    </row>
    <row r="852" spans="2:8" hidden="1" x14ac:dyDescent="0.2">
      <c r="B852" s="8">
        <v>44312</v>
      </c>
      <c r="C852" s="9">
        <f t="shared" ca="1" si="52"/>
        <v>10129.547841935291</v>
      </c>
      <c r="D852" s="9">
        <f t="shared" ca="1" si="53"/>
        <v>12305.549465638311</v>
      </c>
      <c r="E852" s="10">
        <f t="shared" ca="1" si="54"/>
        <v>0.19297071895426801</v>
      </c>
      <c r="G852" s="8">
        <v>44312</v>
      </c>
      <c r="H852" s="10">
        <f t="shared" ca="1" si="55"/>
        <v>1.0529337235546004E-2</v>
      </c>
    </row>
    <row r="853" spans="2:8" hidden="1" x14ac:dyDescent="0.2">
      <c r="B853" s="8">
        <v>44313</v>
      </c>
      <c r="C853" s="9">
        <f t="shared" ca="1" si="52"/>
        <v>10919.541840411768</v>
      </c>
      <c r="D853" s="9">
        <f t="shared" ca="1" si="53"/>
        <v>12636.178816869951</v>
      </c>
      <c r="E853" s="10">
        <f t="shared" ca="1" si="54"/>
        <v>6.5034043342411682E-2</v>
      </c>
      <c r="G853" s="8">
        <v>44313</v>
      </c>
      <c r="H853" s="10">
        <f t="shared" ca="1" si="55"/>
        <v>4.9875005188166045E-2</v>
      </c>
    </row>
    <row r="854" spans="2:8" hidden="1" x14ac:dyDescent="0.2">
      <c r="B854" s="8">
        <v>44314</v>
      </c>
      <c r="C854" s="9">
        <f t="shared" ca="1" si="52"/>
        <v>10232.775729529674</v>
      </c>
      <c r="D854" s="9">
        <f t="shared" ca="1" si="53"/>
        <v>14396.685560976919</v>
      </c>
      <c r="E854" s="10">
        <f t="shared" ca="1" si="54"/>
        <v>0.10890397851021318</v>
      </c>
      <c r="G854" s="8">
        <v>44314</v>
      </c>
      <c r="H854" s="10">
        <f t="shared" ca="1" si="55"/>
        <v>2.8515944300824825E-2</v>
      </c>
    </row>
    <row r="855" spans="2:8" hidden="1" x14ac:dyDescent="0.2">
      <c r="B855" s="8">
        <v>44315</v>
      </c>
      <c r="C855" s="9">
        <f t="shared" ca="1" si="52"/>
        <v>14501.008437680437</v>
      </c>
      <c r="D855" s="9">
        <f t="shared" ca="1" si="53"/>
        <v>15593.354127905523</v>
      </c>
      <c r="E855" s="10">
        <f t="shared" ca="1" si="54"/>
        <v>0.12486761452972073</v>
      </c>
      <c r="G855" s="8">
        <v>44315</v>
      </c>
      <c r="H855" s="10">
        <f t="shared" ca="1" si="55"/>
        <v>4.2762406953280714E-2</v>
      </c>
    </row>
    <row r="856" spans="2:8" hidden="1" x14ac:dyDescent="0.2">
      <c r="B856" s="8">
        <v>44316</v>
      </c>
      <c r="C856" s="9">
        <f t="shared" ca="1" si="52"/>
        <v>14313.314865659693</v>
      </c>
      <c r="D856" s="9">
        <f t="shared" ca="1" si="53"/>
        <v>16283.457715378867</v>
      </c>
      <c r="E856" s="10">
        <f t="shared" ca="1" si="54"/>
        <v>0.25118651961037408</v>
      </c>
      <c r="G856" s="8">
        <v>44316</v>
      </c>
      <c r="H856" s="10">
        <f t="shared" ca="1" si="55"/>
        <v>1.4799881990692654E-2</v>
      </c>
    </row>
    <row r="857" spans="2:8" hidden="1" x14ac:dyDescent="0.2">
      <c r="B857" s="8">
        <v>44317</v>
      </c>
      <c r="C857" s="9">
        <f t="shared" ca="1" si="52"/>
        <v>16322.189590701761</v>
      </c>
      <c r="D857" s="9">
        <f t="shared" ca="1" si="53"/>
        <v>13993.1928270879</v>
      </c>
      <c r="E857" s="10">
        <f t="shared" ca="1" si="54"/>
        <v>7.5348424100101855E-2</v>
      </c>
      <c r="G857" s="8">
        <v>44317</v>
      </c>
      <c r="H857" s="10">
        <f t="shared" ca="1" si="55"/>
        <v>5.7854046526210186E-2</v>
      </c>
    </row>
    <row r="858" spans="2:8" hidden="1" x14ac:dyDescent="0.2">
      <c r="B858" s="8">
        <v>44318</v>
      </c>
      <c r="C858" s="9">
        <f t="shared" ca="1" si="52"/>
        <v>16688.68597445052</v>
      </c>
      <c r="D858" s="9">
        <f t="shared" ca="1" si="53"/>
        <v>10654.307314681069</v>
      </c>
      <c r="E858" s="10">
        <f t="shared" ca="1" si="54"/>
        <v>1.3897419313476156E-2</v>
      </c>
      <c r="G858" s="8">
        <v>44318</v>
      </c>
      <c r="H858" s="10">
        <f t="shared" ca="1" si="55"/>
        <v>4.4019541947759575E-2</v>
      </c>
    </row>
    <row r="859" spans="2:8" hidden="1" x14ac:dyDescent="0.2">
      <c r="B859" s="8">
        <v>44319</v>
      </c>
      <c r="C859" s="9">
        <f t="shared" ca="1" si="52"/>
        <v>12869.221816407509</v>
      </c>
      <c r="D859" s="9">
        <f t="shared" ca="1" si="53"/>
        <v>10474.463855609996</v>
      </c>
      <c r="E859" s="10">
        <f t="shared" ca="1" si="54"/>
        <v>6.0639516046954112E-2</v>
      </c>
      <c r="G859" s="8">
        <v>44319</v>
      </c>
      <c r="H859" s="10">
        <f t="shared" ca="1" si="55"/>
        <v>2.1276859425756908E-2</v>
      </c>
    </row>
    <row r="860" spans="2:8" hidden="1" x14ac:dyDescent="0.2">
      <c r="B860" s="8">
        <v>44320</v>
      </c>
      <c r="C860" s="9">
        <f t="shared" ca="1" si="52"/>
        <v>11935.863244566164</v>
      </c>
      <c r="D860" s="9">
        <f t="shared" ca="1" si="53"/>
        <v>10205.391685913733</v>
      </c>
      <c r="E860" s="10">
        <f t="shared" ca="1" si="54"/>
        <v>0.12989753251947544</v>
      </c>
      <c r="G860" s="8">
        <v>44320</v>
      </c>
      <c r="H860" s="10">
        <f t="shared" ca="1" si="55"/>
        <v>1.7411100905805423E-2</v>
      </c>
    </row>
    <row r="861" spans="2:8" hidden="1" x14ac:dyDescent="0.2">
      <c r="B861" s="8">
        <v>44321</v>
      </c>
      <c r="C861" s="9">
        <f t="shared" ca="1" si="52"/>
        <v>17802.194683850044</v>
      </c>
      <c r="D861" s="9">
        <f t="shared" ca="1" si="53"/>
        <v>16032.931165543421</v>
      </c>
      <c r="E861" s="10">
        <f t="shared" ca="1" si="54"/>
        <v>0.11279900794616378</v>
      </c>
      <c r="G861" s="8">
        <v>44321</v>
      </c>
      <c r="H861" s="10">
        <f t="shared" ca="1" si="55"/>
        <v>2.3643339013155414E-2</v>
      </c>
    </row>
    <row r="862" spans="2:8" hidden="1" x14ac:dyDescent="0.2">
      <c r="B862" s="8">
        <v>44322</v>
      </c>
      <c r="C862" s="9">
        <f t="shared" ca="1" si="52"/>
        <v>16359.378922597942</v>
      </c>
      <c r="D862" s="9">
        <f t="shared" ca="1" si="53"/>
        <v>12298.010247203141</v>
      </c>
      <c r="E862" s="10">
        <f t="shared" ca="1" si="54"/>
        <v>4.2198118609626023E-2</v>
      </c>
      <c r="G862" s="8">
        <v>44322</v>
      </c>
      <c r="H862" s="10">
        <f t="shared" ca="1" si="55"/>
        <v>4.8220948316136394E-2</v>
      </c>
    </row>
    <row r="863" spans="2:8" hidden="1" x14ac:dyDescent="0.2">
      <c r="B863" s="8">
        <v>44323</v>
      </c>
      <c r="C863" s="9">
        <f t="shared" ca="1" si="52"/>
        <v>10811.864622089681</v>
      </c>
      <c r="D863" s="9">
        <f t="shared" ca="1" si="53"/>
        <v>10509.113280904889</v>
      </c>
      <c r="E863" s="10">
        <f t="shared" ca="1" si="54"/>
        <v>0.22816694048969899</v>
      </c>
      <c r="G863" s="8">
        <v>44323</v>
      </c>
      <c r="H863" s="10">
        <f t="shared" ca="1" si="55"/>
        <v>5.5629355650222291E-2</v>
      </c>
    </row>
    <row r="864" spans="2:8" hidden="1" x14ac:dyDescent="0.2">
      <c r="B864" s="8">
        <v>44324</v>
      </c>
      <c r="C864" s="9">
        <f t="shared" ca="1" si="52"/>
        <v>11319.89088495103</v>
      </c>
      <c r="D864" s="9">
        <f t="shared" ca="1" si="53"/>
        <v>15310.654220093489</v>
      </c>
      <c r="E864" s="10">
        <f t="shared" ca="1" si="54"/>
        <v>0.17140705988736907</v>
      </c>
      <c r="G864" s="8">
        <v>44324</v>
      </c>
      <c r="H864" s="10">
        <f t="shared" ca="1" si="55"/>
        <v>3.7658537078548424E-2</v>
      </c>
    </row>
    <row r="865" spans="2:8" hidden="1" x14ac:dyDescent="0.2">
      <c r="B865" s="8">
        <v>44325</v>
      </c>
      <c r="C865" s="9">
        <f t="shared" ca="1" si="52"/>
        <v>10993.20659442475</v>
      </c>
      <c r="D865" s="9">
        <f t="shared" ca="1" si="53"/>
        <v>11086.286406038531</v>
      </c>
      <c r="E865" s="10">
        <f t="shared" ca="1" si="54"/>
        <v>0.22913037786500559</v>
      </c>
      <c r="G865" s="8">
        <v>44325</v>
      </c>
      <c r="H865" s="10">
        <f t="shared" ca="1" si="55"/>
        <v>5.5805450526602553E-2</v>
      </c>
    </row>
    <row r="866" spans="2:8" hidden="1" x14ac:dyDescent="0.2">
      <c r="B866" s="8">
        <v>44326</v>
      </c>
      <c r="C866" s="9">
        <f t="shared" ca="1" si="52"/>
        <v>17746.33797071423</v>
      </c>
      <c r="D866" s="9">
        <f t="shared" ca="1" si="53"/>
        <v>13667.64386581102</v>
      </c>
      <c r="E866" s="10">
        <f t="shared" ca="1" si="54"/>
        <v>5.4347568858378624E-2</v>
      </c>
      <c r="G866" s="8">
        <v>44326</v>
      </c>
      <c r="H866" s="10">
        <f t="shared" ca="1" si="55"/>
        <v>2.1452593679518864E-2</v>
      </c>
    </row>
    <row r="867" spans="2:8" hidden="1" x14ac:dyDescent="0.2">
      <c r="B867" s="8">
        <v>44327</v>
      </c>
      <c r="C867" s="9">
        <f t="shared" ca="1" si="52"/>
        <v>12358.992460867619</v>
      </c>
      <c r="D867" s="9">
        <f t="shared" ca="1" si="53"/>
        <v>17749.860849149256</v>
      </c>
      <c r="E867" s="10">
        <f t="shared" ca="1" si="54"/>
        <v>0.21829242492515791</v>
      </c>
      <c r="G867" s="8">
        <v>44327</v>
      </c>
      <c r="H867" s="10">
        <f t="shared" ca="1" si="55"/>
        <v>1.4294689181927429E-2</v>
      </c>
    </row>
    <row r="868" spans="2:8" hidden="1" x14ac:dyDescent="0.2">
      <c r="B868" s="8">
        <v>44328</v>
      </c>
      <c r="C868" s="9">
        <f t="shared" ca="1" si="52"/>
        <v>11467.489884241062</v>
      </c>
      <c r="D868" s="9">
        <f t="shared" ca="1" si="53"/>
        <v>12267.349403022627</v>
      </c>
      <c r="E868" s="10">
        <f t="shared" ca="1" si="54"/>
        <v>0.17657852847339697</v>
      </c>
      <c r="G868" s="8">
        <v>44328</v>
      </c>
      <c r="H868" s="10">
        <f t="shared" ca="1" si="55"/>
        <v>6.8330832761106838E-2</v>
      </c>
    </row>
    <row r="869" spans="2:8" hidden="1" x14ac:dyDescent="0.2">
      <c r="B869" s="8">
        <v>44329</v>
      </c>
      <c r="C869" s="9">
        <f t="shared" ca="1" si="52"/>
        <v>11501.816908600395</v>
      </c>
      <c r="D869" s="9">
        <f t="shared" ca="1" si="53"/>
        <v>13072.705201217099</v>
      </c>
      <c r="E869" s="10">
        <f t="shared" ca="1" si="54"/>
        <v>5.3067617686485921E-2</v>
      </c>
      <c r="G869" s="8">
        <v>44329</v>
      </c>
      <c r="H869" s="10">
        <f t="shared" ca="1" si="55"/>
        <v>6.3305304920393685E-2</v>
      </c>
    </row>
    <row r="870" spans="2:8" hidden="1" x14ac:dyDescent="0.2">
      <c r="B870" s="8">
        <v>44330</v>
      </c>
      <c r="C870" s="9">
        <f t="shared" ca="1" si="52"/>
        <v>10776.191556496931</v>
      </c>
      <c r="D870" s="9">
        <f t="shared" ca="1" si="53"/>
        <v>12696.376822139197</v>
      </c>
      <c r="E870" s="10">
        <f t="shared" ca="1" si="54"/>
        <v>0.27233492087284833</v>
      </c>
      <c r="G870" s="8">
        <v>44330</v>
      </c>
      <c r="H870" s="10">
        <f t="shared" ca="1" si="55"/>
        <v>5.8626135365436819E-4</v>
      </c>
    </row>
    <row r="871" spans="2:8" hidden="1" x14ac:dyDescent="0.2">
      <c r="B871" s="8">
        <v>44331</v>
      </c>
      <c r="C871" s="9">
        <f t="shared" ca="1" si="52"/>
        <v>10692.829248144491</v>
      </c>
      <c r="D871" s="9">
        <f t="shared" ca="1" si="53"/>
        <v>17982.322892228665</v>
      </c>
      <c r="E871" s="10">
        <f t="shared" ca="1" si="54"/>
        <v>0.19749701588413621</v>
      </c>
      <c r="G871" s="8">
        <v>44331</v>
      </c>
      <c r="H871" s="10">
        <f t="shared" ca="1" si="55"/>
        <v>6.1457792112967792E-2</v>
      </c>
    </row>
    <row r="872" spans="2:8" hidden="1" x14ac:dyDescent="0.2">
      <c r="B872" s="8">
        <v>44332</v>
      </c>
      <c r="C872" s="9">
        <f t="shared" ca="1" si="52"/>
        <v>12886.266149813357</v>
      </c>
      <c r="D872" s="9">
        <f t="shared" ca="1" si="53"/>
        <v>12602.829506996019</v>
      </c>
      <c r="E872" s="10">
        <f t="shared" ca="1" si="54"/>
        <v>0.11203260665414018</v>
      </c>
      <c r="G872" s="8">
        <v>44332</v>
      </c>
      <c r="H872" s="10">
        <f t="shared" ca="1" si="55"/>
        <v>6.4210657406748792E-2</v>
      </c>
    </row>
    <row r="873" spans="2:8" hidden="1" x14ac:dyDescent="0.2">
      <c r="B873" s="8">
        <v>44333</v>
      </c>
      <c r="C873" s="9">
        <f t="shared" ca="1" si="52"/>
        <v>16333.969183433495</v>
      </c>
      <c r="D873" s="9">
        <f t="shared" ca="1" si="53"/>
        <v>14176.236515919161</v>
      </c>
      <c r="E873" s="10">
        <f t="shared" ca="1" si="54"/>
        <v>0.27962622033968459</v>
      </c>
      <c r="G873" s="8">
        <v>44333</v>
      </c>
      <c r="H873" s="10">
        <f t="shared" ca="1" si="55"/>
        <v>4.6224082253690735E-2</v>
      </c>
    </row>
    <row r="874" spans="2:8" hidden="1" x14ac:dyDescent="0.2">
      <c r="B874" s="8">
        <v>44334</v>
      </c>
      <c r="C874" s="9">
        <f t="shared" ca="1" si="52"/>
        <v>17408.276196306098</v>
      </c>
      <c r="D874" s="9">
        <f t="shared" ca="1" si="53"/>
        <v>11185.32638417793</v>
      </c>
      <c r="E874" s="10">
        <f t="shared" ca="1" si="54"/>
        <v>7.7681685149788043E-2</v>
      </c>
      <c r="G874" s="8">
        <v>44334</v>
      </c>
      <c r="H874" s="10">
        <f t="shared" ca="1" si="55"/>
        <v>1.4164406888226965E-2</v>
      </c>
    </row>
    <row r="875" spans="2:8" hidden="1" x14ac:dyDescent="0.2">
      <c r="B875" s="8">
        <v>44335</v>
      </c>
      <c r="C875" s="9">
        <f t="shared" ca="1" si="52"/>
        <v>10568.39748976259</v>
      </c>
      <c r="D875" s="9">
        <f t="shared" ca="1" si="53"/>
        <v>17262.903655425194</v>
      </c>
      <c r="E875" s="10">
        <f t="shared" ca="1" si="54"/>
        <v>0.22738004474302109</v>
      </c>
      <c r="G875" s="8">
        <v>44335</v>
      </c>
      <c r="H875" s="10">
        <f t="shared" ca="1" si="55"/>
        <v>3.4987458949026357E-2</v>
      </c>
    </row>
    <row r="876" spans="2:8" hidden="1" x14ac:dyDescent="0.2">
      <c r="B876" s="8">
        <v>44336</v>
      </c>
      <c r="C876" s="9">
        <f t="shared" ca="1" si="52"/>
        <v>14541.204625603985</v>
      </c>
      <c r="D876" s="9">
        <f t="shared" ca="1" si="53"/>
        <v>11075.167949678686</v>
      </c>
      <c r="E876" s="10">
        <f t="shared" ca="1" si="54"/>
        <v>0.11038467203046437</v>
      </c>
      <c r="G876" s="8">
        <v>44336</v>
      </c>
      <c r="H876" s="10">
        <f t="shared" ca="1" si="55"/>
        <v>4.5868795412736085E-2</v>
      </c>
    </row>
    <row r="877" spans="2:8" hidden="1" x14ac:dyDescent="0.2">
      <c r="B877" s="8">
        <v>44337</v>
      </c>
      <c r="C877" s="9">
        <f t="shared" ca="1" si="52"/>
        <v>12797.212401181881</v>
      </c>
      <c r="D877" s="9">
        <f t="shared" ca="1" si="53"/>
        <v>12096.88663985355</v>
      </c>
      <c r="E877" s="10">
        <f t="shared" ca="1" si="54"/>
        <v>0.23631194662819124</v>
      </c>
      <c r="G877" s="8">
        <v>44337</v>
      </c>
      <c r="H877" s="10">
        <f t="shared" ca="1" si="55"/>
        <v>2.7608327498071288E-2</v>
      </c>
    </row>
    <row r="878" spans="2:8" hidden="1" x14ac:dyDescent="0.2">
      <c r="B878" s="8">
        <v>44338</v>
      </c>
      <c r="C878" s="9">
        <f t="shared" ca="1" si="52"/>
        <v>13115.155247241259</v>
      </c>
      <c r="D878" s="9">
        <f t="shared" ca="1" si="53"/>
        <v>12345.75299903853</v>
      </c>
      <c r="E878" s="10">
        <f t="shared" ca="1" si="54"/>
        <v>4.7210193274913104E-2</v>
      </c>
      <c r="G878" s="8">
        <v>44338</v>
      </c>
      <c r="H878" s="10">
        <f t="shared" ca="1" si="55"/>
        <v>4.932322946434875E-2</v>
      </c>
    </row>
    <row r="879" spans="2:8" hidden="1" x14ac:dyDescent="0.2">
      <c r="B879" s="8">
        <v>44339</v>
      </c>
      <c r="C879" s="9">
        <f t="shared" ca="1" si="52"/>
        <v>15817.835076324438</v>
      </c>
      <c r="D879" s="9">
        <f t="shared" ca="1" si="53"/>
        <v>13042.967363108635</v>
      </c>
      <c r="E879" s="10">
        <f t="shared" ca="1" si="54"/>
        <v>0.29900769222796347</v>
      </c>
      <c r="G879" s="8">
        <v>44339</v>
      </c>
      <c r="H879" s="10">
        <f t="shared" ca="1" si="55"/>
        <v>4.6782504951893247E-2</v>
      </c>
    </row>
    <row r="880" spans="2:8" hidden="1" x14ac:dyDescent="0.2">
      <c r="B880" s="8">
        <v>44340</v>
      </c>
      <c r="C880" s="9">
        <f t="shared" ca="1" si="52"/>
        <v>13620.895379529873</v>
      </c>
      <c r="D880" s="9">
        <f t="shared" ca="1" si="53"/>
        <v>11339.26810638879</v>
      </c>
      <c r="E880" s="10">
        <f t="shared" ca="1" si="54"/>
        <v>0.20308636034238939</v>
      </c>
      <c r="G880" s="8">
        <v>44340</v>
      </c>
      <c r="H880" s="10">
        <f t="shared" ca="1" si="55"/>
        <v>3.2086176065922602E-2</v>
      </c>
    </row>
    <row r="881" spans="2:8" hidden="1" x14ac:dyDescent="0.2">
      <c r="B881" s="8">
        <v>44341</v>
      </c>
      <c r="C881" s="9">
        <f t="shared" ca="1" si="52"/>
        <v>16401.196434583533</v>
      </c>
      <c r="D881" s="9">
        <f t="shared" ca="1" si="53"/>
        <v>10982.840568586626</v>
      </c>
      <c r="E881" s="10">
        <f t="shared" ca="1" si="54"/>
        <v>0.1389740230399453</v>
      </c>
      <c r="G881" s="8">
        <v>44341</v>
      </c>
      <c r="H881" s="10">
        <f t="shared" ca="1" si="55"/>
        <v>5.1128592833287648E-2</v>
      </c>
    </row>
    <row r="882" spans="2:8" hidden="1" x14ac:dyDescent="0.2">
      <c r="B882" s="8">
        <v>44342</v>
      </c>
      <c r="C882" s="9">
        <f t="shared" ca="1" si="52"/>
        <v>17948.885631286539</v>
      </c>
      <c r="D882" s="9">
        <f t="shared" ca="1" si="53"/>
        <v>10123.1096336105</v>
      </c>
      <c r="E882" s="10">
        <f t="shared" ca="1" si="54"/>
        <v>0.27600555073847105</v>
      </c>
      <c r="G882" s="8">
        <v>44342</v>
      </c>
      <c r="H882" s="10">
        <f t="shared" ca="1" si="55"/>
        <v>5.7436856959782512E-2</v>
      </c>
    </row>
    <row r="883" spans="2:8" hidden="1" x14ac:dyDescent="0.2">
      <c r="B883" s="8">
        <v>44343</v>
      </c>
      <c r="C883" s="9">
        <f t="shared" ca="1" si="52"/>
        <v>10574.254700766467</v>
      </c>
      <c r="D883" s="9">
        <f t="shared" ca="1" si="53"/>
        <v>11960.076462888537</v>
      </c>
      <c r="E883" s="10">
        <f t="shared" ca="1" si="54"/>
        <v>1.2549031308558488E-2</v>
      </c>
      <c r="G883" s="8">
        <v>44343</v>
      </c>
      <c r="H883" s="10">
        <f t="shared" ca="1" si="55"/>
        <v>4.2998986469443647E-2</v>
      </c>
    </row>
    <row r="884" spans="2:8" hidden="1" x14ac:dyDescent="0.2">
      <c r="B884" s="8">
        <v>44344</v>
      </c>
      <c r="C884" s="9">
        <f t="shared" ca="1" si="52"/>
        <v>15842.818772054175</v>
      </c>
      <c r="D884" s="9">
        <f t="shared" ca="1" si="53"/>
        <v>12029.922890584359</v>
      </c>
      <c r="E884" s="10">
        <f t="shared" ca="1" si="54"/>
        <v>0.15944410102991119</v>
      </c>
      <c r="G884" s="8">
        <v>44344</v>
      </c>
      <c r="H884" s="10">
        <f t="shared" ca="1" si="55"/>
        <v>3.4629315269741834E-2</v>
      </c>
    </row>
    <row r="885" spans="2:8" hidden="1" x14ac:dyDescent="0.2">
      <c r="B885" s="8">
        <v>44345</v>
      </c>
      <c r="C885" s="9">
        <f t="shared" ca="1" si="52"/>
        <v>16733.101593852705</v>
      </c>
      <c r="D885" s="9">
        <f t="shared" ca="1" si="53"/>
        <v>10702.99665178022</v>
      </c>
      <c r="E885" s="10">
        <f t="shared" ca="1" si="54"/>
        <v>0.22315385250173256</v>
      </c>
      <c r="G885" s="8">
        <v>44345</v>
      </c>
      <c r="H885" s="10">
        <f t="shared" ca="1" si="55"/>
        <v>4.0205933595686069E-2</v>
      </c>
    </row>
    <row r="886" spans="2:8" hidden="1" x14ac:dyDescent="0.2">
      <c r="B886" s="8">
        <v>44346</v>
      </c>
      <c r="C886" s="9">
        <f t="shared" ca="1" si="52"/>
        <v>15335.57078189166</v>
      </c>
      <c r="D886" s="9">
        <f t="shared" ca="1" si="53"/>
        <v>11313.926819672135</v>
      </c>
      <c r="E886" s="10">
        <f t="shared" ca="1" si="54"/>
        <v>0.10324512085322811</v>
      </c>
      <c r="G886" s="8">
        <v>44346</v>
      </c>
      <c r="H886" s="10">
        <f t="shared" ca="1" si="55"/>
        <v>1.2792705043418041E-3</v>
      </c>
    </row>
    <row r="887" spans="2:8" hidden="1" x14ac:dyDescent="0.2">
      <c r="B887" s="8">
        <v>44347</v>
      </c>
      <c r="C887" s="9">
        <f t="shared" ca="1" si="52"/>
        <v>14294.6666921698</v>
      </c>
      <c r="D887" s="9">
        <f t="shared" ca="1" si="53"/>
        <v>12038.481537048281</v>
      </c>
      <c r="E887" s="10">
        <f t="shared" ca="1" si="54"/>
        <v>2.5892411957861815E-2</v>
      </c>
      <c r="G887" s="8">
        <v>44347</v>
      </c>
      <c r="H887" s="10">
        <f t="shared" ca="1" si="55"/>
        <v>5.1682034548218438E-2</v>
      </c>
    </row>
    <row r="888" spans="2:8" hidden="1" x14ac:dyDescent="0.2">
      <c r="B888" s="8">
        <v>44348</v>
      </c>
      <c r="C888" s="9">
        <f t="shared" ca="1" si="52"/>
        <v>10001.025614590961</v>
      </c>
      <c r="D888" s="9">
        <f t="shared" ca="1" si="53"/>
        <v>16187.695206661454</v>
      </c>
      <c r="E888" s="10">
        <f t="shared" ca="1" si="54"/>
        <v>0.26286720111780026</v>
      </c>
      <c r="G888" s="8">
        <v>44348</v>
      </c>
      <c r="H888" s="10">
        <f t="shared" ca="1" si="55"/>
        <v>6.666339539145974E-2</v>
      </c>
    </row>
    <row r="889" spans="2:8" hidden="1" x14ac:dyDescent="0.2">
      <c r="B889" s="8">
        <v>44349</v>
      </c>
      <c r="C889" s="9">
        <f t="shared" ca="1" si="52"/>
        <v>12940.82776785132</v>
      </c>
      <c r="D889" s="9">
        <f t="shared" ca="1" si="53"/>
        <v>17285.623322473628</v>
      </c>
      <c r="E889" s="10">
        <f t="shared" ca="1" si="54"/>
        <v>0.14996778142067874</v>
      </c>
      <c r="G889" s="8">
        <v>44349</v>
      </c>
      <c r="H889" s="10">
        <f t="shared" ca="1" si="55"/>
        <v>5.3055809435995582E-2</v>
      </c>
    </row>
    <row r="890" spans="2:8" hidden="1" x14ac:dyDescent="0.2">
      <c r="B890" s="8">
        <v>44350</v>
      </c>
      <c r="C890" s="9">
        <f t="shared" ca="1" si="52"/>
        <v>14640.36957477784</v>
      </c>
      <c r="D890" s="9">
        <f t="shared" ca="1" si="53"/>
        <v>15311.955107980508</v>
      </c>
      <c r="E890" s="10">
        <f t="shared" ca="1" si="54"/>
        <v>6.7618397190696566E-2</v>
      </c>
      <c r="G890" s="8">
        <v>44350</v>
      </c>
      <c r="H890" s="10">
        <f t="shared" ca="1" si="55"/>
        <v>5.0349606177935602E-2</v>
      </c>
    </row>
    <row r="891" spans="2:8" hidden="1" x14ac:dyDescent="0.2">
      <c r="B891" s="8">
        <v>44351</v>
      </c>
      <c r="C891" s="9">
        <f t="shared" ca="1" si="52"/>
        <v>11267.145362138115</v>
      </c>
      <c r="D891" s="9">
        <f t="shared" ca="1" si="53"/>
        <v>10246.04123375929</v>
      </c>
      <c r="E891" s="10">
        <f t="shared" ca="1" si="54"/>
        <v>0.20111543479669511</v>
      </c>
      <c r="G891" s="8">
        <v>44351</v>
      </c>
      <c r="H891" s="10">
        <f t="shared" ca="1" si="55"/>
        <v>2.5705181638262333E-3</v>
      </c>
    </row>
    <row r="892" spans="2:8" hidden="1" x14ac:dyDescent="0.2">
      <c r="B892" s="8">
        <v>44352</v>
      </c>
      <c r="C892" s="9">
        <f t="shared" ca="1" si="52"/>
        <v>13300.817605645305</v>
      </c>
      <c r="D892" s="9">
        <f t="shared" ca="1" si="53"/>
        <v>14835.659565896067</v>
      </c>
      <c r="E892" s="10">
        <f t="shared" ca="1" si="54"/>
        <v>0.19657274370848235</v>
      </c>
      <c r="G892" s="8">
        <v>44352</v>
      </c>
      <c r="H892" s="10">
        <f t="shared" ca="1" si="55"/>
        <v>9.5337241005014686E-3</v>
      </c>
    </row>
    <row r="893" spans="2:8" hidden="1" x14ac:dyDescent="0.2">
      <c r="B893" s="8">
        <v>44353</v>
      </c>
      <c r="C893" s="9">
        <f t="shared" ca="1" si="52"/>
        <v>13457.034339590311</v>
      </c>
      <c r="D893" s="9">
        <f t="shared" ca="1" si="53"/>
        <v>10761.260250711734</v>
      </c>
      <c r="E893" s="10">
        <f t="shared" ca="1" si="54"/>
        <v>2.2756222744499309E-2</v>
      </c>
      <c r="G893" s="8">
        <v>44353</v>
      </c>
      <c r="H893" s="10">
        <f t="shared" ca="1" si="55"/>
        <v>6.3370733099841869E-2</v>
      </c>
    </row>
    <row r="894" spans="2:8" hidden="1" x14ac:dyDescent="0.2">
      <c r="B894" s="8">
        <v>44354</v>
      </c>
      <c r="C894" s="9">
        <f t="shared" ca="1" si="52"/>
        <v>16085.334777416827</v>
      </c>
      <c r="D894" s="9">
        <f t="shared" ca="1" si="53"/>
        <v>13214.471043310054</v>
      </c>
      <c r="E894" s="10">
        <f t="shared" ca="1" si="54"/>
        <v>3.6546026650845075E-2</v>
      </c>
      <c r="G894" s="8">
        <v>44354</v>
      </c>
      <c r="H894" s="10">
        <f t="shared" ca="1" si="55"/>
        <v>1.6531558003760296E-2</v>
      </c>
    </row>
    <row r="895" spans="2:8" hidden="1" x14ac:dyDescent="0.2">
      <c r="B895" s="8">
        <v>44355</v>
      </c>
      <c r="C895" s="9">
        <f t="shared" ca="1" si="52"/>
        <v>14551.400545731867</v>
      </c>
      <c r="D895" s="9">
        <f t="shared" ca="1" si="53"/>
        <v>12865.074609635425</v>
      </c>
      <c r="E895" s="10">
        <f t="shared" ca="1" si="54"/>
        <v>0.22383768064408416</v>
      </c>
      <c r="G895" s="8">
        <v>44355</v>
      </c>
      <c r="H895" s="10">
        <f t="shared" ca="1" si="55"/>
        <v>3.1304384770595793E-2</v>
      </c>
    </row>
    <row r="896" spans="2:8" hidden="1" x14ac:dyDescent="0.2">
      <c r="B896" s="8">
        <v>44356</v>
      </c>
      <c r="C896" s="9">
        <f t="shared" ca="1" si="52"/>
        <v>16536.402109753064</v>
      </c>
      <c r="D896" s="9">
        <f t="shared" ca="1" si="53"/>
        <v>13547.554834315624</v>
      </c>
      <c r="E896" s="10">
        <f t="shared" ca="1" si="54"/>
        <v>0.2217402450815312</v>
      </c>
      <c r="G896" s="8">
        <v>44356</v>
      </c>
      <c r="H896" s="10">
        <f t="shared" ca="1" si="55"/>
        <v>4.3276081146791032E-2</v>
      </c>
    </row>
    <row r="897" spans="2:8" hidden="1" x14ac:dyDescent="0.2">
      <c r="B897" s="8">
        <v>44357</v>
      </c>
      <c r="C897" s="9">
        <f t="shared" ca="1" si="52"/>
        <v>11782.09892933122</v>
      </c>
      <c r="D897" s="9">
        <f t="shared" ca="1" si="53"/>
        <v>14803.781272315675</v>
      </c>
      <c r="E897" s="10">
        <f t="shared" ca="1" si="54"/>
        <v>0.10696451660139633</v>
      </c>
      <c r="G897" s="8">
        <v>44357</v>
      </c>
      <c r="H897" s="10">
        <f t="shared" ca="1" si="55"/>
        <v>6.1629836835472698E-2</v>
      </c>
    </row>
    <row r="898" spans="2:8" hidden="1" x14ac:dyDescent="0.2">
      <c r="B898" s="8">
        <v>44358</v>
      </c>
      <c r="C898" s="9">
        <f t="shared" ca="1" si="52"/>
        <v>12943.339494697042</v>
      </c>
      <c r="D898" s="9">
        <f t="shared" ca="1" si="53"/>
        <v>17129.585805069968</v>
      </c>
      <c r="E898" s="10">
        <f t="shared" ca="1" si="54"/>
        <v>9.4149783517949628E-2</v>
      </c>
      <c r="G898" s="8">
        <v>44358</v>
      </c>
      <c r="H898" s="10">
        <f t="shared" ca="1" si="55"/>
        <v>3.3186547851319394E-2</v>
      </c>
    </row>
    <row r="899" spans="2:8" hidden="1" x14ac:dyDescent="0.2">
      <c r="B899" s="8">
        <v>44359</v>
      </c>
      <c r="C899" s="9">
        <f t="shared" ca="1" si="52"/>
        <v>15934.933927577322</v>
      </c>
      <c r="D899" s="9">
        <f t="shared" ca="1" si="53"/>
        <v>11013.569750745963</v>
      </c>
      <c r="E899" s="10">
        <f t="shared" ca="1" si="54"/>
        <v>3.3491001419552191E-2</v>
      </c>
      <c r="G899" s="8">
        <v>44359</v>
      </c>
      <c r="H899" s="10">
        <f t="shared" ca="1" si="55"/>
        <v>1.8856800875125951E-2</v>
      </c>
    </row>
    <row r="900" spans="2:8" hidden="1" x14ac:dyDescent="0.2">
      <c r="B900" s="8">
        <v>44360</v>
      </c>
      <c r="C900" s="9">
        <f t="shared" ca="1" si="52"/>
        <v>14824.014275829057</v>
      </c>
      <c r="D900" s="9">
        <f t="shared" ca="1" si="53"/>
        <v>11601.75832226067</v>
      </c>
      <c r="E900" s="10">
        <f t="shared" ca="1" si="54"/>
        <v>8.2955721887754394E-2</v>
      </c>
      <c r="G900" s="8">
        <v>44360</v>
      </c>
      <c r="H900" s="10">
        <f t="shared" ca="1" si="55"/>
        <v>2.9498034586118851E-2</v>
      </c>
    </row>
    <row r="901" spans="2:8" hidden="1" x14ac:dyDescent="0.2">
      <c r="B901" s="8">
        <v>44361</v>
      </c>
      <c r="C901" s="9">
        <f t="shared" ca="1" si="52"/>
        <v>17566.193927605225</v>
      </c>
      <c r="D901" s="9">
        <f t="shared" ca="1" si="53"/>
        <v>13403.19838224335</v>
      </c>
      <c r="E901" s="10">
        <f t="shared" ca="1" si="54"/>
        <v>0.29986778832126593</v>
      </c>
      <c r="G901" s="8">
        <v>44361</v>
      </c>
      <c r="H901" s="10">
        <f t="shared" ca="1" si="55"/>
        <v>6.4989544252596815E-2</v>
      </c>
    </row>
    <row r="902" spans="2:8" hidden="1" x14ac:dyDescent="0.2">
      <c r="B902" s="8">
        <v>44362</v>
      </c>
      <c r="C902" s="9">
        <f t="shared" ca="1" si="52"/>
        <v>11360.134864628501</v>
      </c>
      <c r="D902" s="9">
        <f t="shared" ca="1" si="53"/>
        <v>17304.945300062202</v>
      </c>
      <c r="E902" s="10">
        <f t="shared" ca="1" si="54"/>
        <v>4.3552407019476436E-2</v>
      </c>
      <c r="G902" s="8">
        <v>44362</v>
      </c>
      <c r="H902" s="10">
        <f t="shared" ca="1" si="55"/>
        <v>3.8380801565040271E-2</v>
      </c>
    </row>
    <row r="903" spans="2:8" hidden="1" x14ac:dyDescent="0.2">
      <c r="B903" s="8">
        <v>44363</v>
      </c>
      <c r="C903" s="9">
        <f t="shared" ref="C903:C966" ca="1" si="56">RAND()*(18000-10000)+10000</f>
        <v>13985.58639415206</v>
      </c>
      <c r="D903" s="9">
        <f t="shared" ref="D903:D966" ca="1" si="57">RAND()*(18000-10000)+10000</f>
        <v>11362.009302855184</v>
      </c>
      <c r="E903" s="10">
        <f t="shared" ref="E903:E966" ca="1" si="58">RAND()*(30%-0%)+0%</f>
        <v>0.1871476053205148</v>
      </c>
      <c r="G903" s="8">
        <v>44363</v>
      </c>
      <c r="H903" s="10">
        <f t="shared" ref="H903:H966" ca="1" si="59">RAND()*(7%-0%)+0%</f>
        <v>5.4171082558264728E-2</v>
      </c>
    </row>
    <row r="904" spans="2:8" hidden="1" x14ac:dyDescent="0.2">
      <c r="B904" s="8">
        <v>44364</v>
      </c>
      <c r="C904" s="9">
        <f t="shared" ca="1" si="56"/>
        <v>17506.988727396551</v>
      </c>
      <c r="D904" s="9">
        <f t="shared" ca="1" si="57"/>
        <v>16814.536582171739</v>
      </c>
      <c r="E904" s="10">
        <f t="shared" ca="1" si="58"/>
        <v>0.14550803987128941</v>
      </c>
      <c r="G904" s="8">
        <v>44364</v>
      </c>
      <c r="H904" s="10">
        <f t="shared" ca="1" si="59"/>
        <v>4.6439085147040697E-2</v>
      </c>
    </row>
    <row r="905" spans="2:8" hidden="1" x14ac:dyDescent="0.2">
      <c r="B905" s="8">
        <v>44365</v>
      </c>
      <c r="C905" s="9">
        <f t="shared" ca="1" si="56"/>
        <v>10419.822909274233</v>
      </c>
      <c r="D905" s="9">
        <f t="shared" ca="1" si="57"/>
        <v>15666.417884399325</v>
      </c>
      <c r="E905" s="10">
        <f t="shared" ca="1" si="58"/>
        <v>0.18600844813618678</v>
      </c>
      <c r="G905" s="8">
        <v>44365</v>
      </c>
      <c r="H905" s="10">
        <f t="shared" ca="1" si="59"/>
        <v>5.0563186022693413E-2</v>
      </c>
    </row>
    <row r="906" spans="2:8" hidden="1" x14ac:dyDescent="0.2">
      <c r="B906" s="8">
        <v>44366</v>
      </c>
      <c r="C906" s="9">
        <f t="shared" ca="1" si="56"/>
        <v>10794.123964438075</v>
      </c>
      <c r="D906" s="9">
        <f t="shared" ca="1" si="57"/>
        <v>10124.350900674463</v>
      </c>
      <c r="E906" s="10">
        <f t="shared" ca="1" si="58"/>
        <v>8.7235630195498431E-2</v>
      </c>
      <c r="G906" s="8">
        <v>44366</v>
      </c>
      <c r="H906" s="10">
        <f t="shared" ca="1" si="59"/>
        <v>1.9096319837606436E-2</v>
      </c>
    </row>
    <row r="907" spans="2:8" hidden="1" x14ac:dyDescent="0.2">
      <c r="B907" s="8">
        <v>44367</v>
      </c>
      <c r="C907" s="9">
        <f t="shared" ca="1" si="56"/>
        <v>10431.916842314969</v>
      </c>
      <c r="D907" s="9">
        <f t="shared" ca="1" si="57"/>
        <v>15239.669286656914</v>
      </c>
      <c r="E907" s="10">
        <f t="shared" ca="1" si="58"/>
        <v>7.8446668081315729E-2</v>
      </c>
      <c r="G907" s="8">
        <v>44367</v>
      </c>
      <c r="H907" s="10">
        <f t="shared" ca="1" si="59"/>
        <v>4.8924336405076929E-2</v>
      </c>
    </row>
    <row r="908" spans="2:8" hidden="1" x14ac:dyDescent="0.2">
      <c r="B908" s="8">
        <v>44368</v>
      </c>
      <c r="C908" s="9">
        <f t="shared" ca="1" si="56"/>
        <v>17307.94679155049</v>
      </c>
      <c r="D908" s="9">
        <f t="shared" ca="1" si="57"/>
        <v>11123.674636982463</v>
      </c>
      <c r="E908" s="10">
        <f t="shared" ca="1" si="58"/>
        <v>0.18468291932952299</v>
      </c>
      <c r="G908" s="8">
        <v>44368</v>
      </c>
      <c r="H908" s="10">
        <f t="shared" ca="1" si="59"/>
        <v>2.1569850052819514E-2</v>
      </c>
    </row>
    <row r="909" spans="2:8" hidden="1" x14ac:dyDescent="0.2">
      <c r="B909" s="8">
        <v>44369</v>
      </c>
      <c r="C909" s="9">
        <f t="shared" ca="1" si="56"/>
        <v>15011.236554937521</v>
      </c>
      <c r="D909" s="9">
        <f t="shared" ca="1" si="57"/>
        <v>13241.61366568134</v>
      </c>
      <c r="E909" s="10">
        <f t="shared" ca="1" si="58"/>
        <v>2.7059450859548671E-2</v>
      </c>
      <c r="G909" s="8">
        <v>44369</v>
      </c>
      <c r="H909" s="10">
        <f t="shared" ca="1" si="59"/>
        <v>3.1833390321470985E-2</v>
      </c>
    </row>
    <row r="910" spans="2:8" hidden="1" x14ac:dyDescent="0.2">
      <c r="B910" s="8">
        <v>44370</v>
      </c>
      <c r="C910" s="9">
        <f t="shared" ca="1" si="56"/>
        <v>15342.08784677091</v>
      </c>
      <c r="D910" s="9">
        <f t="shared" ca="1" si="57"/>
        <v>17412.152521758529</v>
      </c>
      <c r="E910" s="10">
        <f t="shared" ca="1" si="58"/>
        <v>0.23087092284169991</v>
      </c>
      <c r="G910" s="8">
        <v>44370</v>
      </c>
      <c r="H910" s="10">
        <f t="shared" ca="1" si="59"/>
        <v>4.0449686060430097E-2</v>
      </c>
    </row>
    <row r="911" spans="2:8" hidden="1" x14ac:dyDescent="0.2">
      <c r="B911" s="8">
        <v>44371</v>
      </c>
      <c r="C911" s="9">
        <f t="shared" ca="1" si="56"/>
        <v>12447.239087322752</v>
      </c>
      <c r="D911" s="9">
        <f t="shared" ca="1" si="57"/>
        <v>16839.260067164454</v>
      </c>
      <c r="E911" s="10">
        <f t="shared" ca="1" si="58"/>
        <v>0.21993213493992564</v>
      </c>
      <c r="G911" s="8">
        <v>44371</v>
      </c>
      <c r="H911" s="10">
        <f t="shared" ca="1" si="59"/>
        <v>3.6463825784791966E-2</v>
      </c>
    </row>
    <row r="912" spans="2:8" hidden="1" x14ac:dyDescent="0.2">
      <c r="B912" s="8">
        <v>44372</v>
      </c>
      <c r="C912" s="9">
        <f t="shared" ca="1" si="56"/>
        <v>12428.684648512126</v>
      </c>
      <c r="D912" s="9">
        <f t="shared" ca="1" si="57"/>
        <v>14068.411847725623</v>
      </c>
      <c r="E912" s="10">
        <f t="shared" ca="1" si="58"/>
        <v>5.5917895580733991E-2</v>
      </c>
      <c r="G912" s="8">
        <v>44372</v>
      </c>
      <c r="H912" s="10">
        <f t="shared" ca="1" si="59"/>
        <v>5.1336222882764161E-2</v>
      </c>
    </row>
    <row r="913" spans="2:8" hidden="1" x14ac:dyDescent="0.2">
      <c r="B913" s="8">
        <v>44373</v>
      </c>
      <c r="C913" s="9">
        <f t="shared" ca="1" si="56"/>
        <v>15826.6807019687</v>
      </c>
      <c r="D913" s="9">
        <f t="shared" ca="1" si="57"/>
        <v>11869.375156880084</v>
      </c>
      <c r="E913" s="10">
        <f t="shared" ca="1" si="58"/>
        <v>0.15224664085738246</v>
      </c>
      <c r="G913" s="8">
        <v>44373</v>
      </c>
      <c r="H913" s="10">
        <f t="shared" ca="1" si="59"/>
        <v>6.5930259129102248E-2</v>
      </c>
    </row>
    <row r="914" spans="2:8" hidden="1" x14ac:dyDescent="0.2">
      <c r="B914" s="8">
        <v>44374</v>
      </c>
      <c r="C914" s="9">
        <f t="shared" ca="1" si="56"/>
        <v>16511.304429943208</v>
      </c>
      <c r="D914" s="9">
        <f t="shared" ca="1" si="57"/>
        <v>14677.752004248703</v>
      </c>
      <c r="E914" s="10">
        <f t="shared" ca="1" si="58"/>
        <v>0.29685993740400218</v>
      </c>
      <c r="G914" s="8">
        <v>44374</v>
      </c>
      <c r="H914" s="10">
        <f t="shared" ca="1" si="59"/>
        <v>2.7986469291274352E-2</v>
      </c>
    </row>
    <row r="915" spans="2:8" hidden="1" x14ac:dyDescent="0.2">
      <c r="B915" s="8">
        <v>44375</v>
      </c>
      <c r="C915" s="9">
        <f t="shared" ca="1" si="56"/>
        <v>13620.36396671528</v>
      </c>
      <c r="D915" s="9">
        <f t="shared" ca="1" si="57"/>
        <v>15185.849649826252</v>
      </c>
      <c r="E915" s="10">
        <f t="shared" ca="1" si="58"/>
        <v>8.140497830403437E-3</v>
      </c>
      <c r="G915" s="8">
        <v>44375</v>
      </c>
      <c r="H915" s="10">
        <f t="shared" ca="1" si="59"/>
        <v>3.8324990773867827E-2</v>
      </c>
    </row>
    <row r="916" spans="2:8" hidden="1" x14ac:dyDescent="0.2">
      <c r="B916" s="8">
        <v>44376</v>
      </c>
      <c r="C916" s="9">
        <f t="shared" ca="1" si="56"/>
        <v>12290.69119224878</v>
      </c>
      <c r="D916" s="9">
        <f t="shared" ca="1" si="57"/>
        <v>10328.181928845477</v>
      </c>
      <c r="E916" s="10">
        <f t="shared" ca="1" si="58"/>
        <v>0.20828795829406696</v>
      </c>
      <c r="G916" s="8">
        <v>44376</v>
      </c>
      <c r="H916" s="10">
        <f t="shared" ca="1" si="59"/>
        <v>6.0037850164870628E-2</v>
      </c>
    </row>
    <row r="917" spans="2:8" hidden="1" x14ac:dyDescent="0.2">
      <c r="B917" s="8">
        <v>44377</v>
      </c>
      <c r="C917" s="9">
        <f t="shared" ca="1" si="56"/>
        <v>12145.195951341171</v>
      </c>
      <c r="D917" s="9">
        <f t="shared" ca="1" si="57"/>
        <v>11211.693853169627</v>
      </c>
      <c r="E917" s="10">
        <f t="shared" ca="1" si="58"/>
        <v>0.2452660587596662</v>
      </c>
      <c r="G917" s="8">
        <v>44377</v>
      </c>
      <c r="H917" s="10">
        <f t="shared" ca="1" si="59"/>
        <v>1.4148157862887653E-2</v>
      </c>
    </row>
    <row r="918" spans="2:8" hidden="1" x14ac:dyDescent="0.2">
      <c r="B918" s="8">
        <v>44378</v>
      </c>
      <c r="C918" s="9">
        <f t="shared" ca="1" si="56"/>
        <v>14528.31506990745</v>
      </c>
      <c r="D918" s="9">
        <f t="shared" ca="1" si="57"/>
        <v>12130.429528809991</v>
      </c>
      <c r="E918" s="10">
        <f t="shared" ca="1" si="58"/>
        <v>0.10963549733269991</v>
      </c>
      <c r="G918" s="8">
        <v>44378</v>
      </c>
      <c r="H918" s="10">
        <f t="shared" ca="1" si="59"/>
        <v>5.4194016761187373E-3</v>
      </c>
    </row>
    <row r="919" spans="2:8" hidden="1" x14ac:dyDescent="0.2">
      <c r="B919" s="8">
        <v>44379</v>
      </c>
      <c r="C919" s="9">
        <f t="shared" ca="1" si="56"/>
        <v>13095.818150929364</v>
      </c>
      <c r="D919" s="9">
        <f t="shared" ca="1" si="57"/>
        <v>12479.916250932789</v>
      </c>
      <c r="E919" s="10">
        <f t="shared" ca="1" si="58"/>
        <v>0.15728597954983689</v>
      </c>
      <c r="G919" s="8">
        <v>44379</v>
      </c>
      <c r="H919" s="10">
        <f t="shared" ca="1" si="59"/>
        <v>2.4672421612763448E-2</v>
      </c>
    </row>
    <row r="920" spans="2:8" hidden="1" x14ac:dyDescent="0.2">
      <c r="B920" s="8">
        <v>44380</v>
      </c>
      <c r="C920" s="9">
        <f t="shared" ca="1" si="56"/>
        <v>17107.761268191647</v>
      </c>
      <c r="D920" s="9">
        <f t="shared" ca="1" si="57"/>
        <v>12310.512021737033</v>
      </c>
      <c r="E920" s="10">
        <f t="shared" ca="1" si="58"/>
        <v>0.12325326310853862</v>
      </c>
      <c r="G920" s="8">
        <v>44380</v>
      </c>
      <c r="H920" s="10">
        <f t="shared" ca="1" si="59"/>
        <v>4.9685326611385083E-2</v>
      </c>
    </row>
    <row r="921" spans="2:8" hidden="1" x14ac:dyDescent="0.2">
      <c r="B921" s="8">
        <v>44381</v>
      </c>
      <c r="C921" s="9">
        <f t="shared" ca="1" si="56"/>
        <v>12102.980342196028</v>
      </c>
      <c r="D921" s="9">
        <f t="shared" ca="1" si="57"/>
        <v>14616.219066806847</v>
      </c>
      <c r="E921" s="10">
        <f t="shared" ca="1" si="58"/>
        <v>8.4389910965018314E-2</v>
      </c>
      <c r="G921" s="8">
        <v>44381</v>
      </c>
      <c r="H921" s="10">
        <f t="shared" ca="1" si="59"/>
        <v>1.9041796730596373E-3</v>
      </c>
    </row>
    <row r="922" spans="2:8" hidden="1" x14ac:dyDescent="0.2">
      <c r="B922" s="8">
        <v>44382</v>
      </c>
      <c r="C922" s="9">
        <f t="shared" ca="1" si="56"/>
        <v>13582.923123565219</v>
      </c>
      <c r="D922" s="9">
        <f t="shared" ca="1" si="57"/>
        <v>12526.610148260128</v>
      </c>
      <c r="E922" s="10">
        <f t="shared" ca="1" si="58"/>
        <v>0.24395100182915894</v>
      </c>
      <c r="G922" s="8">
        <v>44382</v>
      </c>
      <c r="H922" s="10">
        <f t="shared" ca="1" si="59"/>
        <v>1.8955804620647092E-2</v>
      </c>
    </row>
    <row r="923" spans="2:8" hidden="1" x14ac:dyDescent="0.2">
      <c r="B923" s="8">
        <v>44383</v>
      </c>
      <c r="C923" s="9">
        <f t="shared" ca="1" si="56"/>
        <v>15238.122059327457</v>
      </c>
      <c r="D923" s="9">
        <f t="shared" ca="1" si="57"/>
        <v>17943.509274944401</v>
      </c>
      <c r="E923" s="10">
        <f t="shared" ca="1" si="58"/>
        <v>7.5170392411286743E-2</v>
      </c>
      <c r="G923" s="8">
        <v>44383</v>
      </c>
      <c r="H923" s="10">
        <f t="shared" ca="1" si="59"/>
        <v>3.7363042738080443E-2</v>
      </c>
    </row>
    <row r="924" spans="2:8" hidden="1" x14ac:dyDescent="0.2">
      <c r="B924" s="8">
        <v>44384</v>
      </c>
      <c r="C924" s="9">
        <f t="shared" ca="1" si="56"/>
        <v>14635.34134669491</v>
      </c>
      <c r="D924" s="9">
        <f t="shared" ca="1" si="57"/>
        <v>12796.990022152915</v>
      </c>
      <c r="E924" s="10">
        <f t="shared" ca="1" si="58"/>
        <v>9.5659996819914564E-2</v>
      </c>
      <c r="G924" s="8">
        <v>44384</v>
      </c>
      <c r="H924" s="10">
        <f t="shared" ca="1" si="59"/>
        <v>6.4384690901681557E-2</v>
      </c>
    </row>
    <row r="925" spans="2:8" hidden="1" x14ac:dyDescent="0.2">
      <c r="B925" s="8">
        <v>44385</v>
      </c>
      <c r="C925" s="9">
        <f t="shared" ca="1" si="56"/>
        <v>10521.422142419355</v>
      </c>
      <c r="D925" s="9">
        <f t="shared" ca="1" si="57"/>
        <v>14196.905206146093</v>
      </c>
      <c r="E925" s="10">
        <f t="shared" ca="1" si="58"/>
        <v>0.26642185726099982</v>
      </c>
      <c r="G925" s="8">
        <v>44385</v>
      </c>
      <c r="H925" s="10">
        <f t="shared" ca="1" si="59"/>
        <v>4.312378171187943E-2</v>
      </c>
    </row>
    <row r="926" spans="2:8" hidden="1" x14ac:dyDescent="0.2">
      <c r="B926" s="8">
        <v>44386</v>
      </c>
      <c r="C926" s="9">
        <f t="shared" ca="1" si="56"/>
        <v>12513.205407877735</v>
      </c>
      <c r="D926" s="9">
        <f t="shared" ca="1" si="57"/>
        <v>15229.222578437424</v>
      </c>
      <c r="E926" s="10">
        <f t="shared" ca="1" si="58"/>
        <v>0.12635435220590105</v>
      </c>
      <c r="G926" s="8">
        <v>44386</v>
      </c>
      <c r="H926" s="10">
        <f t="shared" ca="1" si="59"/>
        <v>1.9484191744096581E-2</v>
      </c>
    </row>
    <row r="927" spans="2:8" hidden="1" x14ac:dyDescent="0.2">
      <c r="B927" s="8">
        <v>44387</v>
      </c>
      <c r="C927" s="9">
        <f t="shared" ca="1" si="56"/>
        <v>16491.716289957352</v>
      </c>
      <c r="D927" s="9">
        <f t="shared" ca="1" si="57"/>
        <v>10109.005445444989</v>
      </c>
      <c r="E927" s="10">
        <f t="shared" ca="1" si="58"/>
        <v>0.12064074091730304</v>
      </c>
      <c r="G927" s="8">
        <v>44387</v>
      </c>
      <c r="H927" s="10">
        <f t="shared" ca="1" si="59"/>
        <v>4.7074818563209768E-2</v>
      </c>
    </row>
    <row r="928" spans="2:8" hidden="1" x14ac:dyDescent="0.2">
      <c r="B928" s="8">
        <v>44388</v>
      </c>
      <c r="C928" s="9">
        <f t="shared" ca="1" si="56"/>
        <v>15390.354513370879</v>
      </c>
      <c r="D928" s="9">
        <f t="shared" ca="1" si="57"/>
        <v>16330.583407188975</v>
      </c>
      <c r="E928" s="10">
        <f t="shared" ca="1" si="58"/>
        <v>7.3966084499050747E-2</v>
      </c>
      <c r="G928" s="8">
        <v>44388</v>
      </c>
      <c r="H928" s="10">
        <f t="shared" ca="1" si="59"/>
        <v>3.3734904726824839E-2</v>
      </c>
    </row>
    <row r="929" spans="2:8" hidden="1" x14ac:dyDescent="0.2">
      <c r="B929" s="8">
        <v>44389</v>
      </c>
      <c r="C929" s="9">
        <f t="shared" ca="1" si="56"/>
        <v>14066.404595772507</v>
      </c>
      <c r="D929" s="9">
        <f t="shared" ca="1" si="57"/>
        <v>11675.39129444221</v>
      </c>
      <c r="E929" s="10">
        <f t="shared" ca="1" si="58"/>
        <v>0.17127945152282278</v>
      </c>
      <c r="G929" s="8">
        <v>44389</v>
      </c>
      <c r="H929" s="10">
        <f t="shared" ca="1" si="59"/>
        <v>3.5084372882979734E-2</v>
      </c>
    </row>
    <row r="930" spans="2:8" hidden="1" x14ac:dyDescent="0.2">
      <c r="B930" s="8">
        <v>44390</v>
      </c>
      <c r="C930" s="9">
        <f t="shared" ca="1" si="56"/>
        <v>11320.832465009833</v>
      </c>
      <c r="D930" s="9">
        <f t="shared" ca="1" si="57"/>
        <v>10036.199320134123</v>
      </c>
      <c r="E930" s="10">
        <f t="shared" ca="1" si="58"/>
        <v>0.16751048935047294</v>
      </c>
      <c r="G930" s="8">
        <v>44390</v>
      </c>
      <c r="H930" s="10">
        <f t="shared" ca="1" si="59"/>
        <v>1.8447743934891462E-2</v>
      </c>
    </row>
    <row r="931" spans="2:8" hidden="1" x14ac:dyDescent="0.2">
      <c r="B931" s="8">
        <v>44391</v>
      </c>
      <c r="C931" s="9">
        <f t="shared" ca="1" si="56"/>
        <v>13836.20351620068</v>
      </c>
      <c r="D931" s="9">
        <f t="shared" ca="1" si="57"/>
        <v>15157.58281167884</v>
      </c>
      <c r="E931" s="10">
        <f t="shared" ca="1" si="58"/>
        <v>0.16016153782264766</v>
      </c>
      <c r="G931" s="8">
        <v>44391</v>
      </c>
      <c r="H931" s="10">
        <f t="shared" ca="1" si="59"/>
        <v>6.3847021467234848E-3</v>
      </c>
    </row>
    <row r="932" spans="2:8" hidden="1" x14ac:dyDescent="0.2">
      <c r="B932" s="8">
        <v>44392</v>
      </c>
      <c r="C932" s="9">
        <f t="shared" ca="1" si="56"/>
        <v>16314.542866440504</v>
      </c>
      <c r="D932" s="9">
        <f t="shared" ca="1" si="57"/>
        <v>16615.49529709098</v>
      </c>
      <c r="E932" s="10">
        <f t="shared" ca="1" si="58"/>
        <v>0.15583146646203763</v>
      </c>
      <c r="G932" s="8">
        <v>44392</v>
      </c>
      <c r="H932" s="10">
        <f t="shared" ca="1" si="59"/>
        <v>6.4743680482331227E-3</v>
      </c>
    </row>
    <row r="933" spans="2:8" hidden="1" x14ac:dyDescent="0.2">
      <c r="B933" s="8">
        <v>44393</v>
      </c>
      <c r="C933" s="9">
        <f t="shared" ca="1" si="56"/>
        <v>10787.1535345059</v>
      </c>
      <c r="D933" s="9">
        <f t="shared" ca="1" si="57"/>
        <v>10523.310504546074</v>
      </c>
      <c r="E933" s="10">
        <f t="shared" ca="1" si="58"/>
        <v>0.27355762197431505</v>
      </c>
      <c r="G933" s="8">
        <v>44393</v>
      </c>
      <c r="H933" s="10">
        <f t="shared" ca="1" si="59"/>
        <v>6.8217454890459703E-2</v>
      </c>
    </row>
    <row r="934" spans="2:8" hidden="1" x14ac:dyDescent="0.2">
      <c r="B934" s="8">
        <v>44394</v>
      </c>
      <c r="C934" s="9">
        <f t="shared" ca="1" si="56"/>
        <v>13407.245461592036</v>
      </c>
      <c r="D934" s="9">
        <f t="shared" ca="1" si="57"/>
        <v>17138.116549820465</v>
      </c>
      <c r="E934" s="10">
        <f t="shared" ca="1" si="58"/>
        <v>0.23065380189917162</v>
      </c>
      <c r="G934" s="8">
        <v>44394</v>
      </c>
      <c r="H934" s="10">
        <f t="shared" ca="1" si="59"/>
        <v>1.0794875367916011E-2</v>
      </c>
    </row>
    <row r="935" spans="2:8" hidden="1" x14ac:dyDescent="0.2">
      <c r="B935" s="8">
        <v>44395</v>
      </c>
      <c r="C935" s="9">
        <f t="shared" ca="1" si="56"/>
        <v>15584.267562969564</v>
      </c>
      <c r="D935" s="9">
        <f t="shared" ca="1" si="57"/>
        <v>15476.227214328259</v>
      </c>
      <c r="E935" s="10">
        <f t="shared" ca="1" si="58"/>
        <v>2.3301439634776686E-2</v>
      </c>
      <c r="G935" s="8">
        <v>44395</v>
      </c>
      <c r="H935" s="10">
        <f t="shared" ca="1" si="59"/>
        <v>3.0055655987764759E-2</v>
      </c>
    </row>
    <row r="936" spans="2:8" hidden="1" x14ac:dyDescent="0.2">
      <c r="B936" s="8">
        <v>44396</v>
      </c>
      <c r="C936" s="9">
        <f t="shared" ca="1" si="56"/>
        <v>13254.119345398232</v>
      </c>
      <c r="D936" s="9">
        <f t="shared" ca="1" si="57"/>
        <v>16885.229941974099</v>
      </c>
      <c r="E936" s="10">
        <f t="shared" ca="1" si="58"/>
        <v>9.4221326862643465E-2</v>
      </c>
      <c r="G936" s="8">
        <v>44396</v>
      </c>
      <c r="H936" s="10">
        <f t="shared" ca="1" si="59"/>
        <v>2.5199990425625401E-2</v>
      </c>
    </row>
    <row r="937" spans="2:8" hidden="1" x14ac:dyDescent="0.2">
      <c r="B937" s="8">
        <v>44397</v>
      </c>
      <c r="C937" s="9">
        <f t="shared" ca="1" si="56"/>
        <v>14486.611479571064</v>
      </c>
      <c r="D937" s="9">
        <f t="shared" ca="1" si="57"/>
        <v>17628.553493142696</v>
      </c>
      <c r="E937" s="10">
        <f t="shared" ca="1" si="58"/>
        <v>0.24563729828611597</v>
      </c>
      <c r="G937" s="8">
        <v>44397</v>
      </c>
      <c r="H937" s="10">
        <f t="shared" ca="1" si="59"/>
        <v>1.1145861858664221E-2</v>
      </c>
    </row>
    <row r="938" spans="2:8" hidden="1" x14ac:dyDescent="0.2">
      <c r="B938" s="8">
        <v>44398</v>
      </c>
      <c r="C938" s="9">
        <f t="shared" ca="1" si="56"/>
        <v>14734.755622618115</v>
      </c>
      <c r="D938" s="9">
        <f t="shared" ca="1" si="57"/>
        <v>15245.463046079618</v>
      </c>
      <c r="E938" s="10">
        <f t="shared" ca="1" si="58"/>
        <v>0.20366734667041053</v>
      </c>
      <c r="G938" s="8">
        <v>44398</v>
      </c>
      <c r="H938" s="10">
        <f t="shared" ca="1" si="59"/>
        <v>6.214771408486696E-2</v>
      </c>
    </row>
    <row r="939" spans="2:8" hidden="1" x14ac:dyDescent="0.2">
      <c r="B939" s="8">
        <v>44399</v>
      </c>
      <c r="C939" s="9">
        <f t="shared" ca="1" si="56"/>
        <v>13919.679188383165</v>
      </c>
      <c r="D939" s="9">
        <f t="shared" ca="1" si="57"/>
        <v>14848.585679353684</v>
      </c>
      <c r="E939" s="10">
        <f t="shared" ca="1" si="58"/>
        <v>3.7382038110754474E-2</v>
      </c>
      <c r="G939" s="8">
        <v>44399</v>
      </c>
      <c r="H939" s="10">
        <f t="shared" ca="1" si="59"/>
        <v>1.5759266955619779E-2</v>
      </c>
    </row>
    <row r="940" spans="2:8" hidden="1" x14ac:dyDescent="0.2">
      <c r="B940" s="8">
        <v>44400</v>
      </c>
      <c r="C940" s="9">
        <f t="shared" ca="1" si="56"/>
        <v>17034.17134157936</v>
      </c>
      <c r="D940" s="9">
        <f t="shared" ca="1" si="57"/>
        <v>11718.931296649631</v>
      </c>
      <c r="E940" s="10">
        <f t="shared" ca="1" si="58"/>
        <v>0.17643762039426961</v>
      </c>
      <c r="G940" s="8">
        <v>44400</v>
      </c>
      <c r="H940" s="10">
        <f t="shared" ca="1" si="59"/>
        <v>5.4008829164643536E-2</v>
      </c>
    </row>
    <row r="941" spans="2:8" hidden="1" x14ac:dyDescent="0.2">
      <c r="B941" s="8">
        <v>44401</v>
      </c>
      <c r="C941" s="9">
        <f t="shared" ca="1" si="56"/>
        <v>13792.34486579009</v>
      </c>
      <c r="D941" s="9">
        <f t="shared" ca="1" si="57"/>
        <v>16509.258022103018</v>
      </c>
      <c r="E941" s="10">
        <f t="shared" ca="1" si="58"/>
        <v>0.27325351116382962</v>
      </c>
      <c r="G941" s="8">
        <v>44401</v>
      </c>
      <c r="H941" s="10">
        <f t="shared" ca="1" si="59"/>
        <v>3.2618021071731E-2</v>
      </c>
    </row>
    <row r="942" spans="2:8" hidden="1" x14ac:dyDescent="0.2">
      <c r="B942" s="8">
        <v>44402</v>
      </c>
      <c r="C942" s="9">
        <f t="shared" ca="1" si="56"/>
        <v>15620.571891500837</v>
      </c>
      <c r="D942" s="9">
        <f t="shared" ca="1" si="57"/>
        <v>13349.930596540351</v>
      </c>
      <c r="E942" s="10">
        <f t="shared" ca="1" si="58"/>
        <v>2.2090065087517308E-2</v>
      </c>
      <c r="G942" s="8">
        <v>44402</v>
      </c>
      <c r="H942" s="10">
        <f t="shared" ca="1" si="59"/>
        <v>6.9228551194497084E-2</v>
      </c>
    </row>
    <row r="943" spans="2:8" hidden="1" x14ac:dyDescent="0.2">
      <c r="B943" s="8">
        <v>44403</v>
      </c>
      <c r="C943" s="9">
        <f t="shared" ca="1" si="56"/>
        <v>10511.591613916973</v>
      </c>
      <c r="D943" s="9">
        <f t="shared" ca="1" si="57"/>
        <v>15068.934308542932</v>
      </c>
      <c r="E943" s="10">
        <f t="shared" ca="1" si="58"/>
        <v>5.2322531696288976E-2</v>
      </c>
      <c r="G943" s="8">
        <v>44403</v>
      </c>
      <c r="H943" s="10">
        <f t="shared" ca="1" si="59"/>
        <v>3.568314141132263E-2</v>
      </c>
    </row>
    <row r="944" spans="2:8" hidden="1" x14ac:dyDescent="0.2">
      <c r="B944" s="8">
        <v>44404</v>
      </c>
      <c r="C944" s="9">
        <f t="shared" ca="1" si="56"/>
        <v>10593.969669089025</v>
      </c>
      <c r="D944" s="9">
        <f t="shared" ca="1" si="57"/>
        <v>16482.115768775795</v>
      </c>
      <c r="E944" s="10">
        <f t="shared" ca="1" si="58"/>
        <v>7.7829163141668184E-2</v>
      </c>
      <c r="G944" s="8">
        <v>44404</v>
      </c>
      <c r="H944" s="10">
        <f t="shared" ca="1" si="59"/>
        <v>4.7316699708349896E-2</v>
      </c>
    </row>
    <row r="945" spans="2:8" hidden="1" x14ac:dyDescent="0.2">
      <c r="B945" s="8">
        <v>44405</v>
      </c>
      <c r="C945" s="9">
        <f t="shared" ca="1" si="56"/>
        <v>16426.681524729964</v>
      </c>
      <c r="D945" s="9">
        <f t="shared" ca="1" si="57"/>
        <v>17524.329543698695</v>
      </c>
      <c r="E945" s="10">
        <f t="shared" ca="1" si="58"/>
        <v>0.11756859595291058</v>
      </c>
      <c r="G945" s="8">
        <v>44405</v>
      </c>
      <c r="H945" s="10">
        <f t="shared" ca="1" si="59"/>
        <v>2.4822898527317172E-2</v>
      </c>
    </row>
    <row r="946" spans="2:8" hidden="1" x14ac:dyDescent="0.2">
      <c r="B946" s="8">
        <v>44406</v>
      </c>
      <c r="C946" s="9">
        <f t="shared" ca="1" si="56"/>
        <v>12031.844364262079</v>
      </c>
      <c r="D946" s="9">
        <f t="shared" ca="1" si="57"/>
        <v>10152.20262893017</v>
      </c>
      <c r="E946" s="10">
        <f t="shared" ca="1" si="58"/>
        <v>4.5804967594250963E-2</v>
      </c>
      <c r="G946" s="8">
        <v>44406</v>
      </c>
      <c r="H946" s="10">
        <f t="shared" ca="1" si="59"/>
        <v>1.080453595069799E-2</v>
      </c>
    </row>
    <row r="947" spans="2:8" hidden="1" x14ac:dyDescent="0.2">
      <c r="B947" s="8">
        <v>44407</v>
      </c>
      <c r="C947" s="9">
        <f t="shared" ca="1" si="56"/>
        <v>14785.887391734779</v>
      </c>
      <c r="D947" s="9">
        <f t="shared" ca="1" si="57"/>
        <v>14970.014008395872</v>
      </c>
      <c r="E947" s="10">
        <f t="shared" ca="1" si="58"/>
        <v>0.25834680144578581</v>
      </c>
      <c r="G947" s="8">
        <v>44407</v>
      </c>
      <c r="H947" s="10">
        <f t="shared" ca="1" si="59"/>
        <v>3.6196005764400505E-2</v>
      </c>
    </row>
    <row r="948" spans="2:8" hidden="1" x14ac:dyDescent="0.2">
      <c r="B948" s="8">
        <v>44408</v>
      </c>
      <c r="C948" s="9">
        <f t="shared" ca="1" si="56"/>
        <v>12728.967453431051</v>
      </c>
      <c r="D948" s="9">
        <f t="shared" ca="1" si="57"/>
        <v>14463.298604327512</v>
      </c>
      <c r="E948" s="10">
        <f t="shared" ca="1" si="58"/>
        <v>0.28629579469173921</v>
      </c>
      <c r="G948" s="8">
        <v>44408</v>
      </c>
      <c r="H948" s="10">
        <f t="shared" ca="1" si="59"/>
        <v>7.1298601593370679E-3</v>
      </c>
    </row>
    <row r="949" spans="2:8" hidden="1" x14ac:dyDescent="0.2">
      <c r="B949" s="8">
        <v>44409</v>
      </c>
      <c r="C949" s="9">
        <f t="shared" ca="1" si="56"/>
        <v>14743.478957547415</v>
      </c>
      <c r="D949" s="9">
        <f t="shared" ca="1" si="57"/>
        <v>12551.052667643547</v>
      </c>
      <c r="E949" s="10">
        <f t="shared" ca="1" si="58"/>
        <v>0.27910276669596551</v>
      </c>
      <c r="G949" s="8">
        <v>44409</v>
      </c>
      <c r="H949" s="10">
        <f t="shared" ca="1" si="59"/>
        <v>1.6349114077770757E-2</v>
      </c>
    </row>
    <row r="950" spans="2:8" hidden="1" x14ac:dyDescent="0.2">
      <c r="B950" s="8">
        <v>44410</v>
      </c>
      <c r="C950" s="9">
        <f t="shared" ca="1" si="56"/>
        <v>16242.939283223826</v>
      </c>
      <c r="D950" s="9">
        <f t="shared" ca="1" si="57"/>
        <v>13611.047278913593</v>
      </c>
      <c r="E950" s="10">
        <f t="shared" ca="1" si="58"/>
        <v>0.20816310401064253</v>
      </c>
      <c r="G950" s="8">
        <v>44410</v>
      </c>
      <c r="H950" s="10">
        <f t="shared" ca="1" si="59"/>
        <v>6.4195467134119805E-2</v>
      </c>
    </row>
    <row r="951" spans="2:8" hidden="1" x14ac:dyDescent="0.2">
      <c r="B951" s="8">
        <v>44411</v>
      </c>
      <c r="C951" s="9">
        <f t="shared" ca="1" si="56"/>
        <v>17731.583474069223</v>
      </c>
      <c r="D951" s="9">
        <f t="shared" ca="1" si="57"/>
        <v>15325.092899405594</v>
      </c>
      <c r="E951" s="10">
        <f t="shared" ca="1" si="58"/>
        <v>8.5683092641409983E-2</v>
      </c>
      <c r="G951" s="8">
        <v>44411</v>
      </c>
      <c r="H951" s="10">
        <f t="shared" ca="1" si="59"/>
        <v>5.6645511721603306E-3</v>
      </c>
    </row>
    <row r="952" spans="2:8" hidden="1" x14ac:dyDescent="0.2">
      <c r="B952" s="8">
        <v>44412</v>
      </c>
      <c r="C952" s="9">
        <f t="shared" ca="1" si="56"/>
        <v>15787.740485813432</v>
      </c>
      <c r="D952" s="9">
        <f t="shared" ca="1" si="57"/>
        <v>14821.263428401293</v>
      </c>
      <c r="E952" s="10">
        <f t="shared" ca="1" si="58"/>
        <v>7.0130374297447742E-2</v>
      </c>
      <c r="G952" s="8">
        <v>44412</v>
      </c>
      <c r="H952" s="10">
        <f t="shared" ca="1" si="59"/>
        <v>6.7367154160911533E-2</v>
      </c>
    </row>
    <row r="953" spans="2:8" hidden="1" x14ac:dyDescent="0.2">
      <c r="B953" s="8">
        <v>44413</v>
      </c>
      <c r="C953" s="9">
        <f t="shared" ca="1" si="56"/>
        <v>17164.697011263561</v>
      </c>
      <c r="D953" s="9">
        <f t="shared" ca="1" si="57"/>
        <v>12530.948493200953</v>
      </c>
      <c r="E953" s="10">
        <f t="shared" ca="1" si="58"/>
        <v>2.5968914818223731E-2</v>
      </c>
      <c r="G953" s="8">
        <v>44413</v>
      </c>
      <c r="H953" s="10">
        <f t="shared" ca="1" si="59"/>
        <v>4.8664289946597841E-2</v>
      </c>
    </row>
    <row r="954" spans="2:8" hidden="1" x14ac:dyDescent="0.2">
      <c r="B954" s="8">
        <v>44414</v>
      </c>
      <c r="C954" s="9">
        <f t="shared" ca="1" si="56"/>
        <v>12055.08004573482</v>
      </c>
      <c r="D954" s="9">
        <f t="shared" ca="1" si="57"/>
        <v>15974.428913461365</v>
      </c>
      <c r="E954" s="10">
        <f t="shared" ca="1" si="58"/>
        <v>7.5240263910089492E-2</v>
      </c>
      <c r="G954" s="8">
        <v>44414</v>
      </c>
      <c r="H954" s="10">
        <f t="shared" ca="1" si="59"/>
        <v>2.2208494870671835E-2</v>
      </c>
    </row>
    <row r="955" spans="2:8" hidden="1" x14ac:dyDescent="0.2">
      <c r="B955" s="8">
        <v>44415</v>
      </c>
      <c r="C955" s="9">
        <f t="shared" ca="1" si="56"/>
        <v>15639.036162992616</v>
      </c>
      <c r="D955" s="9">
        <f t="shared" ca="1" si="57"/>
        <v>12331.1846826604</v>
      </c>
      <c r="E955" s="10">
        <f t="shared" ca="1" si="58"/>
        <v>0.13584258222413351</v>
      </c>
      <c r="G955" s="8">
        <v>44415</v>
      </c>
      <c r="H955" s="10">
        <f t="shared" ca="1" si="59"/>
        <v>1.2582112925723211E-2</v>
      </c>
    </row>
    <row r="956" spans="2:8" hidden="1" x14ac:dyDescent="0.2">
      <c r="B956" s="8">
        <v>44416</v>
      </c>
      <c r="C956" s="9">
        <f t="shared" ca="1" si="56"/>
        <v>11074.569831234474</v>
      </c>
      <c r="D956" s="9">
        <f t="shared" ca="1" si="57"/>
        <v>14559.337805438867</v>
      </c>
      <c r="E956" s="10">
        <f t="shared" ca="1" si="58"/>
        <v>0.18362056566656354</v>
      </c>
      <c r="G956" s="8">
        <v>44416</v>
      </c>
      <c r="H956" s="10">
        <f t="shared" ca="1" si="59"/>
        <v>1.0484802171111737E-2</v>
      </c>
    </row>
    <row r="957" spans="2:8" hidden="1" x14ac:dyDescent="0.2">
      <c r="B957" s="8">
        <v>44417</v>
      </c>
      <c r="C957" s="9">
        <f t="shared" ca="1" si="56"/>
        <v>10703.28897413867</v>
      </c>
      <c r="D957" s="9">
        <f t="shared" ca="1" si="57"/>
        <v>16352.90866730483</v>
      </c>
      <c r="E957" s="10">
        <f t="shared" ca="1" si="58"/>
        <v>0.21427329699472394</v>
      </c>
      <c r="G957" s="8">
        <v>44417</v>
      </c>
      <c r="H957" s="10">
        <f t="shared" ca="1" si="59"/>
        <v>4.1108325797120947E-2</v>
      </c>
    </row>
    <row r="958" spans="2:8" hidden="1" x14ac:dyDescent="0.2">
      <c r="B958" s="8">
        <v>44418</v>
      </c>
      <c r="C958" s="9">
        <f t="shared" ca="1" si="56"/>
        <v>12723.380826494613</v>
      </c>
      <c r="D958" s="9">
        <f t="shared" ca="1" si="57"/>
        <v>15084.677686326822</v>
      </c>
      <c r="E958" s="10">
        <f t="shared" ca="1" si="58"/>
        <v>6.041874272002111E-2</v>
      </c>
      <c r="G958" s="8">
        <v>44418</v>
      </c>
      <c r="H958" s="10">
        <f t="shared" ca="1" si="59"/>
        <v>5.2684238801548607E-2</v>
      </c>
    </row>
    <row r="959" spans="2:8" hidden="1" x14ac:dyDescent="0.2">
      <c r="B959" s="8">
        <v>44419</v>
      </c>
      <c r="C959" s="9">
        <f t="shared" ca="1" si="56"/>
        <v>12960.215382341601</v>
      </c>
      <c r="D959" s="9">
        <f t="shared" ca="1" si="57"/>
        <v>13296.107480697176</v>
      </c>
      <c r="E959" s="10">
        <f t="shared" ca="1" si="58"/>
        <v>0.16545301992994443</v>
      </c>
      <c r="G959" s="8">
        <v>44419</v>
      </c>
      <c r="H959" s="10">
        <f t="shared" ca="1" si="59"/>
        <v>7.8418128493137895E-3</v>
      </c>
    </row>
    <row r="960" spans="2:8" hidden="1" x14ac:dyDescent="0.2">
      <c r="B960" s="8">
        <v>44420</v>
      </c>
      <c r="C960" s="9">
        <f t="shared" ca="1" si="56"/>
        <v>12990.692635313346</v>
      </c>
      <c r="D960" s="9">
        <f t="shared" ca="1" si="57"/>
        <v>13609.267483388905</v>
      </c>
      <c r="E960" s="10">
        <f t="shared" ca="1" si="58"/>
        <v>0.26167571060359601</v>
      </c>
      <c r="G960" s="8">
        <v>44420</v>
      </c>
      <c r="H960" s="10">
        <f t="shared" ca="1" si="59"/>
        <v>2.4368260130749247E-2</v>
      </c>
    </row>
    <row r="961" spans="2:8" hidden="1" x14ac:dyDescent="0.2">
      <c r="B961" s="8">
        <v>44421</v>
      </c>
      <c r="C961" s="9">
        <f t="shared" ca="1" si="56"/>
        <v>10241.745598836262</v>
      </c>
      <c r="D961" s="9">
        <f t="shared" ca="1" si="57"/>
        <v>11240.349376592747</v>
      </c>
      <c r="E961" s="10">
        <f t="shared" ca="1" si="58"/>
        <v>0.29867875053487997</v>
      </c>
      <c r="G961" s="8">
        <v>44421</v>
      </c>
      <c r="H961" s="10">
        <f t="shared" ca="1" si="59"/>
        <v>3.647279856683195E-2</v>
      </c>
    </row>
    <row r="962" spans="2:8" hidden="1" x14ac:dyDescent="0.2">
      <c r="B962" s="8">
        <v>44422</v>
      </c>
      <c r="C962" s="9">
        <f t="shared" ca="1" si="56"/>
        <v>11350.177083867875</v>
      </c>
      <c r="D962" s="9">
        <f t="shared" ca="1" si="57"/>
        <v>15824.265876560357</v>
      </c>
      <c r="E962" s="10">
        <f t="shared" ca="1" si="58"/>
        <v>0.26247827791827333</v>
      </c>
      <c r="G962" s="8">
        <v>44422</v>
      </c>
      <c r="H962" s="10">
        <f t="shared" ca="1" si="59"/>
        <v>3.3784247962995676E-3</v>
      </c>
    </row>
    <row r="963" spans="2:8" hidden="1" x14ac:dyDescent="0.2">
      <c r="B963" s="8">
        <v>44423</v>
      </c>
      <c r="C963" s="9">
        <f t="shared" ca="1" si="56"/>
        <v>10967.175271050346</v>
      </c>
      <c r="D963" s="9">
        <f t="shared" ca="1" si="57"/>
        <v>17653.401254491506</v>
      </c>
      <c r="E963" s="10">
        <f t="shared" ca="1" si="58"/>
        <v>0.16981480833635998</v>
      </c>
      <c r="G963" s="8">
        <v>44423</v>
      </c>
      <c r="H963" s="10">
        <f t="shared" ca="1" si="59"/>
        <v>1.1024271475773843E-2</v>
      </c>
    </row>
    <row r="964" spans="2:8" hidden="1" x14ac:dyDescent="0.2">
      <c r="B964" s="8">
        <v>44424</v>
      </c>
      <c r="C964" s="9">
        <f t="shared" ca="1" si="56"/>
        <v>13825.631552129316</v>
      </c>
      <c r="D964" s="9">
        <f t="shared" ca="1" si="57"/>
        <v>11647.51262790914</v>
      </c>
      <c r="E964" s="10">
        <f t="shared" ca="1" si="58"/>
        <v>0.27844126864723284</v>
      </c>
      <c r="G964" s="8">
        <v>44424</v>
      </c>
      <c r="H964" s="10">
        <f t="shared" ca="1" si="59"/>
        <v>4.3869469799270205E-4</v>
      </c>
    </row>
    <row r="965" spans="2:8" hidden="1" x14ac:dyDescent="0.2">
      <c r="B965" s="8">
        <v>44425</v>
      </c>
      <c r="C965" s="9">
        <f t="shared" ca="1" si="56"/>
        <v>17587.884793040721</v>
      </c>
      <c r="D965" s="9">
        <f t="shared" ca="1" si="57"/>
        <v>13783.564801145614</v>
      </c>
      <c r="E965" s="10">
        <f t="shared" ca="1" si="58"/>
        <v>7.0938116759910103E-2</v>
      </c>
      <c r="G965" s="8">
        <v>44425</v>
      </c>
      <c r="H965" s="10">
        <f t="shared" ca="1" si="59"/>
        <v>3.0252886685062597E-2</v>
      </c>
    </row>
    <row r="966" spans="2:8" hidden="1" x14ac:dyDescent="0.2">
      <c r="B966" s="8">
        <v>44426</v>
      </c>
      <c r="C966" s="9">
        <f t="shared" ca="1" si="56"/>
        <v>15830.194591987227</v>
      </c>
      <c r="D966" s="9">
        <f t="shared" ca="1" si="57"/>
        <v>17454.620416343892</v>
      </c>
      <c r="E966" s="10">
        <f t="shared" ca="1" si="58"/>
        <v>0.10323133653290427</v>
      </c>
      <c r="G966" s="8">
        <v>44426</v>
      </c>
      <c r="H966" s="10">
        <f t="shared" ca="1" si="59"/>
        <v>1.1295048639849222E-2</v>
      </c>
    </row>
    <row r="967" spans="2:8" hidden="1" x14ac:dyDescent="0.2">
      <c r="B967" s="8">
        <v>44427</v>
      </c>
      <c r="C967" s="9">
        <f t="shared" ref="C967:C1030" ca="1" si="60">RAND()*(18000-10000)+10000</f>
        <v>10457.311311914793</v>
      </c>
      <c r="D967" s="9">
        <f t="shared" ref="D967:D1030" ca="1" si="61">RAND()*(18000-10000)+10000</f>
        <v>15115.042883898746</v>
      </c>
      <c r="E967" s="10">
        <f t="shared" ref="E967:E1030" ca="1" si="62">RAND()*(30%-0%)+0%</f>
        <v>9.0567745360331187E-2</v>
      </c>
      <c r="G967" s="8">
        <v>44427</v>
      </c>
      <c r="H967" s="10">
        <f t="shared" ref="H967:H1030" ca="1" si="63">RAND()*(7%-0%)+0%</f>
        <v>1.5161149274088515E-2</v>
      </c>
    </row>
    <row r="968" spans="2:8" hidden="1" x14ac:dyDescent="0.2">
      <c r="B968" s="8">
        <v>44428</v>
      </c>
      <c r="C968" s="9">
        <f t="shared" ca="1" si="60"/>
        <v>14462.187664839112</v>
      </c>
      <c r="D968" s="9">
        <f t="shared" ca="1" si="61"/>
        <v>17607.972073008303</v>
      </c>
      <c r="E968" s="10">
        <f t="shared" ca="1" si="62"/>
        <v>0.10704422422508682</v>
      </c>
      <c r="G968" s="8">
        <v>44428</v>
      </c>
      <c r="H968" s="10">
        <f t="shared" ca="1" si="63"/>
        <v>6.9178013623373599E-2</v>
      </c>
    </row>
    <row r="969" spans="2:8" hidden="1" x14ac:dyDescent="0.2">
      <c r="B969" s="8">
        <v>44429</v>
      </c>
      <c r="C969" s="9">
        <f t="shared" ca="1" si="60"/>
        <v>16347.713698733885</v>
      </c>
      <c r="D969" s="9">
        <f t="shared" ca="1" si="61"/>
        <v>13773.691912466455</v>
      </c>
      <c r="E969" s="10">
        <f t="shared" ca="1" si="62"/>
        <v>9.8465324696855108E-2</v>
      </c>
      <c r="G969" s="8">
        <v>44429</v>
      </c>
      <c r="H969" s="10">
        <f t="shared" ca="1" si="63"/>
        <v>5.2037114265799586E-2</v>
      </c>
    </row>
    <row r="970" spans="2:8" hidden="1" x14ac:dyDescent="0.2">
      <c r="B970" s="8">
        <v>44430</v>
      </c>
      <c r="C970" s="9">
        <f t="shared" ca="1" si="60"/>
        <v>16818.960986621256</v>
      </c>
      <c r="D970" s="9">
        <f t="shared" ca="1" si="61"/>
        <v>16522.370898312987</v>
      </c>
      <c r="E970" s="10">
        <f t="shared" ca="1" si="62"/>
        <v>8.610648246728074E-2</v>
      </c>
      <c r="G970" s="8">
        <v>44430</v>
      </c>
      <c r="H970" s="10">
        <f t="shared" ca="1" si="63"/>
        <v>1.4135144941873335E-2</v>
      </c>
    </row>
    <row r="971" spans="2:8" hidden="1" x14ac:dyDescent="0.2">
      <c r="B971" s="8">
        <v>44431</v>
      </c>
      <c r="C971" s="9">
        <f t="shared" ca="1" si="60"/>
        <v>12073.300421706022</v>
      </c>
      <c r="D971" s="9">
        <f t="shared" ca="1" si="61"/>
        <v>14847.042238780297</v>
      </c>
      <c r="E971" s="10">
        <f t="shared" ca="1" si="62"/>
        <v>3.0043593898299546E-2</v>
      </c>
      <c r="G971" s="8">
        <v>44431</v>
      </c>
      <c r="H971" s="10">
        <f t="shared" ca="1" si="63"/>
        <v>6.3074659043191261E-2</v>
      </c>
    </row>
    <row r="972" spans="2:8" hidden="1" x14ac:dyDescent="0.2">
      <c r="B972" s="8">
        <v>44432</v>
      </c>
      <c r="C972" s="9">
        <f t="shared" ca="1" si="60"/>
        <v>11623.939970206804</v>
      </c>
      <c r="D972" s="9">
        <f t="shared" ca="1" si="61"/>
        <v>13272.440758854606</v>
      </c>
      <c r="E972" s="10">
        <f t="shared" ca="1" si="62"/>
        <v>0.26432990132753081</v>
      </c>
      <c r="G972" s="8">
        <v>44432</v>
      </c>
      <c r="H972" s="10">
        <f t="shared" ca="1" si="63"/>
        <v>4.0375035383084963E-2</v>
      </c>
    </row>
    <row r="973" spans="2:8" hidden="1" x14ac:dyDescent="0.2">
      <c r="B973" s="8">
        <v>44433</v>
      </c>
      <c r="C973" s="9">
        <f t="shared" ca="1" si="60"/>
        <v>15814.43195151715</v>
      </c>
      <c r="D973" s="9">
        <f t="shared" ca="1" si="61"/>
        <v>13299.044093784356</v>
      </c>
      <c r="E973" s="10">
        <f t="shared" ca="1" si="62"/>
        <v>5.2230668319064831E-2</v>
      </c>
      <c r="G973" s="8">
        <v>44433</v>
      </c>
      <c r="H973" s="10">
        <f t="shared" ca="1" si="63"/>
        <v>4.9497724761965747E-2</v>
      </c>
    </row>
    <row r="974" spans="2:8" hidden="1" x14ac:dyDescent="0.2">
      <c r="B974" s="8">
        <v>44434</v>
      </c>
      <c r="C974" s="9">
        <f t="shared" ca="1" si="60"/>
        <v>16697.537082135663</v>
      </c>
      <c r="D974" s="9">
        <f t="shared" ca="1" si="61"/>
        <v>11839.640876266247</v>
      </c>
      <c r="E974" s="10">
        <f t="shared" ca="1" si="62"/>
        <v>0.15245366754689388</v>
      </c>
      <c r="G974" s="8">
        <v>44434</v>
      </c>
      <c r="H974" s="10">
        <f t="shared" ca="1" si="63"/>
        <v>2.7926210471017881E-2</v>
      </c>
    </row>
    <row r="975" spans="2:8" hidden="1" x14ac:dyDescent="0.2">
      <c r="B975" s="8">
        <v>44435</v>
      </c>
      <c r="C975" s="9">
        <f t="shared" ca="1" si="60"/>
        <v>17244.64935374881</v>
      </c>
      <c r="D975" s="9">
        <f t="shared" ca="1" si="61"/>
        <v>14221.965601839998</v>
      </c>
      <c r="E975" s="10">
        <f t="shared" ca="1" si="62"/>
        <v>8.179784962781686E-2</v>
      </c>
      <c r="G975" s="8">
        <v>44435</v>
      </c>
      <c r="H975" s="10">
        <f t="shared" ca="1" si="63"/>
        <v>5.9717268554348897E-2</v>
      </c>
    </row>
    <row r="976" spans="2:8" hidden="1" x14ac:dyDescent="0.2">
      <c r="B976" s="8">
        <v>44436</v>
      </c>
      <c r="C976" s="9">
        <f t="shared" ca="1" si="60"/>
        <v>16077.64617381871</v>
      </c>
      <c r="D976" s="9">
        <f t="shared" ca="1" si="61"/>
        <v>17405.98568730722</v>
      </c>
      <c r="E976" s="10">
        <f t="shared" ca="1" si="62"/>
        <v>0.20025045072995865</v>
      </c>
      <c r="G976" s="8">
        <v>44436</v>
      </c>
      <c r="H976" s="10">
        <f t="shared" ca="1" si="63"/>
        <v>2.0716759098791147E-2</v>
      </c>
    </row>
    <row r="977" spans="2:8" hidden="1" x14ac:dyDescent="0.2">
      <c r="B977" s="8">
        <v>44437</v>
      </c>
      <c r="C977" s="9">
        <f t="shared" ca="1" si="60"/>
        <v>12138.687737630731</v>
      </c>
      <c r="D977" s="9">
        <f t="shared" ca="1" si="61"/>
        <v>17729.692066385433</v>
      </c>
      <c r="E977" s="10">
        <f t="shared" ca="1" si="62"/>
        <v>0.15280015736052541</v>
      </c>
      <c r="G977" s="8">
        <v>44437</v>
      </c>
      <c r="H977" s="10">
        <f t="shared" ca="1" si="63"/>
        <v>3.6002492158138624E-2</v>
      </c>
    </row>
    <row r="978" spans="2:8" hidden="1" x14ac:dyDescent="0.2">
      <c r="B978" s="8">
        <v>44438</v>
      </c>
      <c r="C978" s="9">
        <f t="shared" ca="1" si="60"/>
        <v>11026.235928170165</v>
      </c>
      <c r="D978" s="9">
        <f t="shared" ca="1" si="61"/>
        <v>14171.323384019335</v>
      </c>
      <c r="E978" s="10">
        <f t="shared" ca="1" si="62"/>
        <v>0.1478103529235614</v>
      </c>
      <c r="G978" s="8">
        <v>44438</v>
      </c>
      <c r="H978" s="10">
        <f t="shared" ca="1" si="63"/>
        <v>4.3927063858244873E-2</v>
      </c>
    </row>
    <row r="979" spans="2:8" hidden="1" x14ac:dyDescent="0.2">
      <c r="B979" s="8">
        <v>44439</v>
      </c>
      <c r="C979" s="9">
        <f t="shared" ca="1" si="60"/>
        <v>10737.14436268825</v>
      </c>
      <c r="D979" s="9">
        <f t="shared" ca="1" si="61"/>
        <v>12804.26178128169</v>
      </c>
      <c r="E979" s="10">
        <f t="shared" ca="1" si="62"/>
        <v>4.440606360319619E-2</v>
      </c>
      <c r="G979" s="8">
        <v>44439</v>
      </c>
      <c r="H979" s="10">
        <f t="shared" ca="1" si="63"/>
        <v>6.6711927127309834E-2</v>
      </c>
    </row>
    <row r="980" spans="2:8" hidden="1" x14ac:dyDescent="0.2">
      <c r="B980" s="8">
        <v>44440</v>
      </c>
      <c r="C980" s="9">
        <f t="shared" ca="1" si="60"/>
        <v>11161.256485015292</v>
      </c>
      <c r="D980" s="9">
        <f t="shared" ca="1" si="61"/>
        <v>10233.491640222572</v>
      </c>
      <c r="E980" s="10">
        <f t="shared" ca="1" si="62"/>
        <v>0.18589111795460597</v>
      </c>
      <c r="G980" s="8">
        <v>44440</v>
      </c>
      <c r="H980" s="10">
        <f t="shared" ca="1" si="63"/>
        <v>6.0829679914833915E-2</v>
      </c>
    </row>
    <row r="981" spans="2:8" hidden="1" x14ac:dyDescent="0.2">
      <c r="B981" s="8">
        <v>44441</v>
      </c>
      <c r="C981" s="9">
        <f t="shared" ca="1" si="60"/>
        <v>17129.033216422424</v>
      </c>
      <c r="D981" s="9">
        <f t="shared" ca="1" si="61"/>
        <v>13757.40985696578</v>
      </c>
      <c r="E981" s="10">
        <f t="shared" ca="1" si="62"/>
        <v>0.11985433201769331</v>
      </c>
      <c r="G981" s="8">
        <v>44441</v>
      </c>
      <c r="H981" s="10">
        <f t="shared" ca="1" si="63"/>
        <v>5.6133327649882186E-2</v>
      </c>
    </row>
    <row r="982" spans="2:8" hidden="1" x14ac:dyDescent="0.2">
      <c r="B982" s="8">
        <v>44442</v>
      </c>
      <c r="C982" s="9">
        <f t="shared" ca="1" si="60"/>
        <v>14950.775542683008</v>
      </c>
      <c r="D982" s="9">
        <f t="shared" ca="1" si="61"/>
        <v>10483.82443914324</v>
      </c>
      <c r="E982" s="10">
        <f t="shared" ca="1" si="62"/>
        <v>0.14261744386065439</v>
      </c>
      <c r="G982" s="8">
        <v>44442</v>
      </c>
      <c r="H982" s="10">
        <f t="shared" ca="1" si="63"/>
        <v>5.075025822540314E-2</v>
      </c>
    </row>
    <row r="983" spans="2:8" hidden="1" x14ac:dyDescent="0.2">
      <c r="B983" s="8">
        <v>44443</v>
      </c>
      <c r="C983" s="9">
        <f t="shared" ca="1" si="60"/>
        <v>12742.138626801379</v>
      </c>
      <c r="D983" s="9">
        <f t="shared" ca="1" si="61"/>
        <v>17521.236271354108</v>
      </c>
      <c r="E983" s="10">
        <f t="shared" ca="1" si="62"/>
        <v>4.5274194338526643E-3</v>
      </c>
      <c r="G983" s="8">
        <v>44443</v>
      </c>
      <c r="H983" s="10">
        <f t="shared" ca="1" si="63"/>
        <v>5.0793744475932726E-3</v>
      </c>
    </row>
    <row r="984" spans="2:8" hidden="1" x14ac:dyDescent="0.2">
      <c r="B984" s="8">
        <v>44444</v>
      </c>
      <c r="C984" s="9">
        <f t="shared" ca="1" si="60"/>
        <v>16169.793684163653</v>
      </c>
      <c r="D984" s="9">
        <f t="shared" ca="1" si="61"/>
        <v>11289.52063579264</v>
      </c>
      <c r="E984" s="10">
        <f t="shared" ca="1" si="62"/>
        <v>0.21947934267264343</v>
      </c>
      <c r="G984" s="8">
        <v>44444</v>
      </c>
      <c r="H984" s="10">
        <f t="shared" ca="1" si="63"/>
        <v>5.4719472434613642E-2</v>
      </c>
    </row>
    <row r="985" spans="2:8" hidden="1" x14ac:dyDescent="0.2">
      <c r="B985" s="8">
        <v>44445</v>
      </c>
      <c r="C985" s="9">
        <f t="shared" ca="1" si="60"/>
        <v>16428.153751877668</v>
      </c>
      <c r="D985" s="9">
        <f t="shared" ca="1" si="61"/>
        <v>12931.973849734954</v>
      </c>
      <c r="E985" s="10">
        <f t="shared" ca="1" si="62"/>
        <v>0.29436071518973583</v>
      </c>
      <c r="G985" s="8">
        <v>44445</v>
      </c>
      <c r="H985" s="10">
        <f t="shared" ca="1" si="63"/>
        <v>2.2167725250473838E-4</v>
      </c>
    </row>
    <row r="986" spans="2:8" hidden="1" x14ac:dyDescent="0.2">
      <c r="B986" s="8">
        <v>44446</v>
      </c>
      <c r="C986" s="9">
        <f t="shared" ca="1" si="60"/>
        <v>16380.426151189906</v>
      </c>
      <c r="D986" s="9">
        <f t="shared" ca="1" si="61"/>
        <v>10975.029721327322</v>
      </c>
      <c r="E986" s="10">
        <f t="shared" ca="1" si="62"/>
        <v>0.15830753814488738</v>
      </c>
      <c r="G986" s="8">
        <v>44446</v>
      </c>
      <c r="H986" s="10">
        <f t="shared" ca="1" si="63"/>
        <v>3.6578828529553027E-2</v>
      </c>
    </row>
    <row r="987" spans="2:8" hidden="1" x14ac:dyDescent="0.2">
      <c r="B987" s="8">
        <v>44447</v>
      </c>
      <c r="C987" s="9">
        <f t="shared" ca="1" si="60"/>
        <v>15446.052069947571</v>
      </c>
      <c r="D987" s="9">
        <f t="shared" ca="1" si="61"/>
        <v>15454.1154138896</v>
      </c>
      <c r="E987" s="10">
        <f t="shared" ca="1" si="62"/>
        <v>0.15820187445154107</v>
      </c>
      <c r="G987" s="8">
        <v>44447</v>
      </c>
      <c r="H987" s="10">
        <f t="shared" ca="1" si="63"/>
        <v>3.6469243334787717E-2</v>
      </c>
    </row>
    <row r="988" spans="2:8" hidden="1" x14ac:dyDescent="0.2">
      <c r="B988" s="8">
        <v>44448</v>
      </c>
      <c r="C988" s="9">
        <f t="shared" ca="1" si="60"/>
        <v>16002.320993458368</v>
      </c>
      <c r="D988" s="9">
        <f t="shared" ca="1" si="61"/>
        <v>14258.342175194051</v>
      </c>
      <c r="E988" s="10">
        <f t="shared" ca="1" si="62"/>
        <v>3.5116816952687334E-2</v>
      </c>
      <c r="G988" s="8">
        <v>44448</v>
      </c>
      <c r="H988" s="10">
        <f t="shared" ca="1" si="63"/>
        <v>2.0529148102628118E-2</v>
      </c>
    </row>
    <row r="989" spans="2:8" hidden="1" x14ac:dyDescent="0.2">
      <c r="B989" s="8">
        <v>44449</v>
      </c>
      <c r="C989" s="9">
        <f t="shared" ca="1" si="60"/>
        <v>14948.028352645269</v>
      </c>
      <c r="D989" s="9">
        <f t="shared" ca="1" si="61"/>
        <v>17183.380523846681</v>
      </c>
      <c r="E989" s="10">
        <f t="shared" ca="1" si="62"/>
        <v>0.27641673619735113</v>
      </c>
      <c r="G989" s="8">
        <v>44449</v>
      </c>
      <c r="H989" s="10">
        <f t="shared" ca="1" si="63"/>
        <v>5.6806276103092343E-2</v>
      </c>
    </row>
    <row r="990" spans="2:8" hidden="1" x14ac:dyDescent="0.2">
      <c r="B990" s="8">
        <v>44450</v>
      </c>
      <c r="C990" s="9">
        <f t="shared" ca="1" si="60"/>
        <v>14739.552712914798</v>
      </c>
      <c r="D990" s="9">
        <f t="shared" ca="1" si="61"/>
        <v>13133.621918403935</v>
      </c>
      <c r="E990" s="10">
        <f t="shared" ca="1" si="62"/>
        <v>8.1392494120612932E-2</v>
      </c>
      <c r="G990" s="8">
        <v>44450</v>
      </c>
      <c r="H990" s="10">
        <f t="shared" ca="1" si="63"/>
        <v>2.9090759053270573E-2</v>
      </c>
    </row>
    <row r="991" spans="2:8" hidden="1" x14ac:dyDescent="0.2">
      <c r="B991" s="8">
        <v>44451</v>
      </c>
      <c r="C991" s="9">
        <f t="shared" ca="1" si="60"/>
        <v>16811.781973869871</v>
      </c>
      <c r="D991" s="9">
        <f t="shared" ca="1" si="61"/>
        <v>16370.229509771747</v>
      </c>
      <c r="E991" s="10">
        <f t="shared" ca="1" si="62"/>
        <v>0.22688523382098505</v>
      </c>
      <c r="G991" s="8">
        <v>44451</v>
      </c>
      <c r="H991" s="10">
        <f t="shared" ca="1" si="63"/>
        <v>2.2510067502113186E-2</v>
      </c>
    </row>
    <row r="992" spans="2:8" hidden="1" x14ac:dyDescent="0.2">
      <c r="B992" s="8">
        <v>44452</v>
      </c>
      <c r="C992" s="9">
        <f t="shared" ca="1" si="60"/>
        <v>17082.805514923268</v>
      </c>
      <c r="D992" s="9">
        <f t="shared" ca="1" si="61"/>
        <v>10549.557147356472</v>
      </c>
      <c r="E992" s="10">
        <f t="shared" ca="1" si="62"/>
        <v>0.20133255562654193</v>
      </c>
      <c r="G992" s="8">
        <v>44452</v>
      </c>
      <c r="H992" s="10">
        <f t="shared" ca="1" si="63"/>
        <v>6.8467966787852899E-2</v>
      </c>
    </row>
    <row r="993" spans="2:8" hidden="1" x14ac:dyDescent="0.2">
      <c r="B993" s="8">
        <v>44453</v>
      </c>
      <c r="C993" s="9">
        <f t="shared" ca="1" si="60"/>
        <v>16327.805207799636</v>
      </c>
      <c r="D993" s="9">
        <f t="shared" ca="1" si="61"/>
        <v>15094.027303191589</v>
      </c>
      <c r="E993" s="10">
        <f t="shared" ca="1" si="62"/>
        <v>0.21384306737744446</v>
      </c>
      <c r="G993" s="8">
        <v>44453</v>
      </c>
      <c r="H993" s="10">
        <f t="shared" ca="1" si="63"/>
        <v>6.464924190888742E-2</v>
      </c>
    </row>
    <row r="994" spans="2:8" hidden="1" x14ac:dyDescent="0.2">
      <c r="B994" s="8">
        <v>44454</v>
      </c>
      <c r="C994" s="9">
        <f t="shared" ca="1" si="60"/>
        <v>11116.30228266039</v>
      </c>
      <c r="D994" s="9">
        <f t="shared" ca="1" si="61"/>
        <v>13067.810240292394</v>
      </c>
      <c r="E994" s="10">
        <f t="shared" ca="1" si="62"/>
        <v>0.2967556568272664</v>
      </c>
      <c r="G994" s="8">
        <v>44454</v>
      </c>
      <c r="H994" s="10">
        <f t="shared" ca="1" si="63"/>
        <v>2.5184960355342206E-2</v>
      </c>
    </row>
    <row r="995" spans="2:8" hidden="1" x14ac:dyDescent="0.2">
      <c r="B995" s="8">
        <v>44455</v>
      </c>
      <c r="C995" s="9">
        <f t="shared" ca="1" si="60"/>
        <v>12862.195729654941</v>
      </c>
      <c r="D995" s="9">
        <f t="shared" ca="1" si="61"/>
        <v>13566.729207601242</v>
      </c>
      <c r="E995" s="10">
        <f t="shared" ca="1" si="62"/>
        <v>2.7690397115854412E-3</v>
      </c>
      <c r="G995" s="8">
        <v>44455</v>
      </c>
      <c r="H995" s="10">
        <f t="shared" ca="1" si="63"/>
        <v>4.2401004174222739E-2</v>
      </c>
    </row>
    <row r="996" spans="2:8" hidden="1" x14ac:dyDescent="0.2">
      <c r="B996" s="8">
        <v>44456</v>
      </c>
      <c r="C996" s="9">
        <f t="shared" ca="1" si="60"/>
        <v>12058.025381056152</v>
      </c>
      <c r="D996" s="9">
        <f t="shared" ca="1" si="61"/>
        <v>10928.215657346394</v>
      </c>
      <c r="E996" s="10">
        <f t="shared" ca="1" si="62"/>
        <v>0.2416942459597067</v>
      </c>
      <c r="G996" s="8">
        <v>44456</v>
      </c>
      <c r="H996" s="10">
        <f t="shared" ca="1" si="63"/>
        <v>4.0392400683171438E-2</v>
      </c>
    </row>
    <row r="997" spans="2:8" hidden="1" x14ac:dyDescent="0.2">
      <c r="B997" s="8">
        <v>44457</v>
      </c>
      <c r="C997" s="9">
        <f t="shared" ca="1" si="60"/>
        <v>14058.118926381667</v>
      </c>
      <c r="D997" s="9">
        <f t="shared" ca="1" si="61"/>
        <v>12615.912696919419</v>
      </c>
      <c r="E997" s="10">
        <f t="shared" ca="1" si="62"/>
        <v>0.19270041990300271</v>
      </c>
      <c r="G997" s="8">
        <v>44457</v>
      </c>
      <c r="H997" s="10">
        <f t="shared" ca="1" si="63"/>
        <v>1.1091088172245989E-2</v>
      </c>
    </row>
    <row r="998" spans="2:8" hidden="1" x14ac:dyDescent="0.2">
      <c r="B998" s="8">
        <v>44458</v>
      </c>
      <c r="C998" s="9">
        <f t="shared" ca="1" si="60"/>
        <v>17764.65570482234</v>
      </c>
      <c r="D998" s="9">
        <f t="shared" ca="1" si="61"/>
        <v>14249.015297964565</v>
      </c>
      <c r="E998" s="10">
        <f t="shared" ca="1" si="62"/>
        <v>0.18109366209597269</v>
      </c>
      <c r="G998" s="8">
        <v>44458</v>
      </c>
      <c r="H998" s="10">
        <f t="shared" ca="1" si="63"/>
        <v>1.4214183616523679E-2</v>
      </c>
    </row>
    <row r="999" spans="2:8" hidden="1" x14ac:dyDescent="0.2">
      <c r="B999" s="8">
        <v>44459</v>
      </c>
      <c r="C999" s="9">
        <f t="shared" ca="1" si="60"/>
        <v>16103.43305421629</v>
      </c>
      <c r="D999" s="9">
        <f t="shared" ca="1" si="61"/>
        <v>12701.504850552181</v>
      </c>
      <c r="E999" s="10">
        <f t="shared" ca="1" si="62"/>
        <v>7.1314902328082713E-2</v>
      </c>
      <c r="G999" s="8">
        <v>44459</v>
      </c>
      <c r="H999" s="10">
        <f t="shared" ca="1" si="63"/>
        <v>2.477723385007323E-2</v>
      </c>
    </row>
    <row r="1000" spans="2:8" hidden="1" x14ac:dyDescent="0.2">
      <c r="B1000" s="8">
        <v>44460</v>
      </c>
      <c r="C1000" s="9">
        <f t="shared" ca="1" si="60"/>
        <v>12216.805520290614</v>
      </c>
      <c r="D1000" s="9">
        <f t="shared" ca="1" si="61"/>
        <v>15806.792410490536</v>
      </c>
      <c r="E1000" s="10">
        <f t="shared" ca="1" si="62"/>
        <v>2.6926718141597559E-2</v>
      </c>
      <c r="G1000" s="8">
        <v>44460</v>
      </c>
      <c r="H1000" s="10">
        <f t="shared" ca="1" si="63"/>
        <v>1.7502542645249471E-2</v>
      </c>
    </row>
    <row r="1001" spans="2:8" hidden="1" x14ac:dyDescent="0.2">
      <c r="B1001" s="8">
        <v>44461</v>
      </c>
      <c r="C1001" s="9">
        <f t="shared" ca="1" si="60"/>
        <v>16140.032650756204</v>
      </c>
      <c r="D1001" s="9">
        <f t="shared" ca="1" si="61"/>
        <v>15320.432464561185</v>
      </c>
      <c r="E1001" s="10">
        <f t="shared" ca="1" si="62"/>
        <v>4.6098257159865874E-2</v>
      </c>
      <c r="G1001" s="8">
        <v>44461</v>
      </c>
      <c r="H1001" s="10">
        <f t="shared" ca="1" si="63"/>
        <v>1.2255610203091554E-2</v>
      </c>
    </row>
    <row r="1002" spans="2:8" hidden="1" x14ac:dyDescent="0.2">
      <c r="B1002" s="8">
        <v>44462</v>
      </c>
      <c r="C1002" s="9">
        <f t="shared" ca="1" si="60"/>
        <v>10667.628542449937</v>
      </c>
      <c r="D1002" s="9">
        <f t="shared" ca="1" si="61"/>
        <v>16135.201409010388</v>
      </c>
      <c r="E1002" s="10">
        <f t="shared" ca="1" si="62"/>
        <v>3.7475478145721615E-2</v>
      </c>
      <c r="G1002" s="8">
        <v>44462</v>
      </c>
      <c r="H1002" s="10">
        <f t="shared" ca="1" si="63"/>
        <v>5.2317415918258739E-2</v>
      </c>
    </row>
    <row r="1003" spans="2:8" hidden="1" x14ac:dyDescent="0.2">
      <c r="B1003" s="8">
        <v>44463</v>
      </c>
      <c r="C1003" s="9">
        <f t="shared" ca="1" si="60"/>
        <v>16969.025822143274</v>
      </c>
      <c r="D1003" s="9">
        <f t="shared" ca="1" si="61"/>
        <v>12795.75491537724</v>
      </c>
      <c r="E1003" s="10">
        <f t="shared" ca="1" si="62"/>
        <v>3.8239054637950173E-2</v>
      </c>
      <c r="G1003" s="8">
        <v>44463</v>
      </c>
      <c r="H1003" s="10">
        <f t="shared" ca="1" si="63"/>
        <v>6.7090735067442731E-2</v>
      </c>
    </row>
    <row r="1004" spans="2:8" hidden="1" x14ac:dyDescent="0.2">
      <c r="B1004" s="8">
        <v>44464</v>
      </c>
      <c r="C1004" s="9">
        <f t="shared" ca="1" si="60"/>
        <v>13828.82434529628</v>
      </c>
      <c r="D1004" s="9">
        <f t="shared" ca="1" si="61"/>
        <v>14323.615454108571</v>
      </c>
      <c r="E1004" s="10">
        <f t="shared" ca="1" si="62"/>
        <v>0.12813417685798845</v>
      </c>
      <c r="G1004" s="8">
        <v>44464</v>
      </c>
      <c r="H1004" s="10">
        <f t="shared" ca="1" si="63"/>
        <v>6.5564241300122186E-2</v>
      </c>
    </row>
    <row r="1005" spans="2:8" hidden="1" x14ac:dyDescent="0.2">
      <c r="B1005" s="8">
        <v>44465</v>
      </c>
      <c r="C1005" s="9">
        <f t="shared" ca="1" si="60"/>
        <v>13206.735223152085</v>
      </c>
      <c r="D1005" s="9">
        <f t="shared" ca="1" si="61"/>
        <v>10046.49979153104</v>
      </c>
      <c r="E1005" s="10">
        <f t="shared" ca="1" si="62"/>
        <v>0.16606274787039715</v>
      </c>
      <c r="G1005" s="8">
        <v>44465</v>
      </c>
      <c r="H1005" s="10">
        <f t="shared" ca="1" si="63"/>
        <v>3.334288265258422E-2</v>
      </c>
    </row>
    <row r="1006" spans="2:8" hidden="1" x14ac:dyDescent="0.2">
      <c r="B1006" s="8">
        <v>44466</v>
      </c>
      <c r="C1006" s="9">
        <f t="shared" ca="1" si="60"/>
        <v>13238.375742543647</v>
      </c>
      <c r="D1006" s="9">
        <f t="shared" ca="1" si="61"/>
        <v>14297.147247425186</v>
      </c>
      <c r="E1006" s="10">
        <f t="shared" ca="1" si="62"/>
        <v>0.2893134641644321</v>
      </c>
      <c r="G1006" s="8">
        <v>44466</v>
      </c>
      <c r="H1006" s="10">
        <f t="shared" ca="1" si="63"/>
        <v>2.4949565325900259E-3</v>
      </c>
    </row>
    <row r="1007" spans="2:8" hidden="1" x14ac:dyDescent="0.2">
      <c r="B1007" s="8">
        <v>44467</v>
      </c>
      <c r="C1007" s="9">
        <f t="shared" ca="1" si="60"/>
        <v>11573.026470498557</v>
      </c>
      <c r="D1007" s="9">
        <f t="shared" ca="1" si="61"/>
        <v>10355.374445704429</v>
      </c>
      <c r="E1007" s="10">
        <f t="shared" ca="1" si="62"/>
        <v>0.22422585537254872</v>
      </c>
      <c r="G1007" s="8">
        <v>44467</v>
      </c>
      <c r="H1007" s="10">
        <f t="shared" ca="1" si="63"/>
        <v>5.8305231981799877E-2</v>
      </c>
    </row>
    <row r="1008" spans="2:8" hidden="1" x14ac:dyDescent="0.2">
      <c r="B1008" s="8">
        <v>44468</v>
      </c>
      <c r="C1008" s="9">
        <f t="shared" ca="1" si="60"/>
        <v>11255.942703655375</v>
      </c>
      <c r="D1008" s="9">
        <f t="shared" ca="1" si="61"/>
        <v>17958.412603470533</v>
      </c>
      <c r="E1008" s="10">
        <f t="shared" ca="1" si="62"/>
        <v>0.2793715706018795</v>
      </c>
      <c r="G1008" s="8">
        <v>44468</v>
      </c>
      <c r="H1008" s="10">
        <f t="shared" ca="1" si="63"/>
        <v>6.5935813296190873E-2</v>
      </c>
    </row>
    <row r="1009" spans="2:8" hidden="1" x14ac:dyDescent="0.2">
      <c r="B1009" s="8">
        <v>44469</v>
      </c>
      <c r="C1009" s="9">
        <f t="shared" ca="1" si="60"/>
        <v>13012.525797458855</v>
      </c>
      <c r="D1009" s="9">
        <f t="shared" ca="1" si="61"/>
        <v>12268.222157246284</v>
      </c>
      <c r="E1009" s="10">
        <f t="shared" ca="1" si="62"/>
        <v>6.469625874492016E-2</v>
      </c>
      <c r="G1009" s="8">
        <v>44469</v>
      </c>
      <c r="H1009" s="10">
        <f t="shared" ca="1" si="63"/>
        <v>3.8898198949829682E-2</v>
      </c>
    </row>
    <row r="1010" spans="2:8" hidden="1" x14ac:dyDescent="0.2">
      <c r="B1010" s="8">
        <v>44470</v>
      </c>
      <c r="C1010" s="9">
        <f t="shared" ca="1" si="60"/>
        <v>17109.626172494394</v>
      </c>
      <c r="D1010" s="9">
        <f t="shared" ca="1" si="61"/>
        <v>17938.165080430623</v>
      </c>
      <c r="E1010" s="10">
        <f t="shared" ca="1" si="62"/>
        <v>9.264967350551491E-2</v>
      </c>
      <c r="G1010" s="8">
        <v>44470</v>
      </c>
      <c r="H1010" s="10">
        <f t="shared" ca="1" si="63"/>
        <v>8.2661551331697745E-3</v>
      </c>
    </row>
    <row r="1011" spans="2:8" hidden="1" x14ac:dyDescent="0.2">
      <c r="B1011" s="8">
        <v>44471</v>
      </c>
      <c r="C1011" s="9">
        <f t="shared" ca="1" si="60"/>
        <v>15405.424118977517</v>
      </c>
      <c r="D1011" s="9">
        <f t="shared" ca="1" si="61"/>
        <v>17818.137203128055</v>
      </c>
      <c r="E1011" s="10">
        <f t="shared" ca="1" si="62"/>
        <v>0.15790803267725645</v>
      </c>
      <c r="G1011" s="8">
        <v>44471</v>
      </c>
      <c r="H1011" s="10">
        <f t="shared" ca="1" si="63"/>
        <v>1.3509613835773738E-3</v>
      </c>
    </row>
    <row r="1012" spans="2:8" hidden="1" x14ac:dyDescent="0.2">
      <c r="B1012" s="8">
        <v>44472</v>
      </c>
      <c r="C1012" s="9">
        <f t="shared" ca="1" si="60"/>
        <v>16009.735140329642</v>
      </c>
      <c r="D1012" s="9">
        <f t="shared" ca="1" si="61"/>
        <v>11390.010394546567</v>
      </c>
      <c r="E1012" s="10">
        <f t="shared" ca="1" si="62"/>
        <v>3.1052990433415473E-2</v>
      </c>
      <c r="G1012" s="8">
        <v>44472</v>
      </c>
      <c r="H1012" s="10">
        <f t="shared" ca="1" si="63"/>
        <v>9.1086740110495647E-3</v>
      </c>
    </row>
    <row r="1013" spans="2:8" hidden="1" x14ac:dyDescent="0.2">
      <c r="B1013" s="8">
        <v>44473</v>
      </c>
      <c r="C1013" s="9">
        <f t="shared" ca="1" si="60"/>
        <v>13527.403872465011</v>
      </c>
      <c r="D1013" s="9">
        <f t="shared" ca="1" si="61"/>
        <v>13343.031835459467</v>
      </c>
      <c r="E1013" s="10">
        <f t="shared" ca="1" si="62"/>
        <v>0.11270834187548974</v>
      </c>
      <c r="G1013" s="8">
        <v>44473</v>
      </c>
      <c r="H1013" s="10">
        <f t="shared" ca="1" si="63"/>
        <v>4.8878768598949365E-2</v>
      </c>
    </row>
    <row r="1014" spans="2:8" hidden="1" x14ac:dyDescent="0.2">
      <c r="B1014" s="8">
        <v>44474</v>
      </c>
      <c r="C1014" s="9">
        <f t="shared" ca="1" si="60"/>
        <v>12753.521948204343</v>
      </c>
      <c r="D1014" s="9">
        <f t="shared" ca="1" si="61"/>
        <v>12667.090069048678</v>
      </c>
      <c r="E1014" s="10">
        <f t="shared" ca="1" si="62"/>
        <v>0.25783893128292767</v>
      </c>
      <c r="G1014" s="8">
        <v>44474</v>
      </c>
      <c r="H1014" s="10">
        <f t="shared" ca="1" si="63"/>
        <v>3.5084439849221855E-2</v>
      </c>
    </row>
    <row r="1015" spans="2:8" hidden="1" x14ac:dyDescent="0.2">
      <c r="B1015" s="8">
        <v>44475</v>
      </c>
      <c r="C1015" s="9">
        <f t="shared" ca="1" si="60"/>
        <v>12450.859565785946</v>
      </c>
      <c r="D1015" s="9">
        <f t="shared" ca="1" si="61"/>
        <v>17168.30715585185</v>
      </c>
      <c r="E1015" s="10">
        <f t="shared" ca="1" si="62"/>
        <v>2.0868128007289322E-2</v>
      </c>
      <c r="G1015" s="8">
        <v>44475</v>
      </c>
      <c r="H1015" s="10">
        <f t="shared" ca="1" si="63"/>
        <v>6.8035075074617596E-3</v>
      </c>
    </row>
    <row r="1016" spans="2:8" hidden="1" x14ac:dyDescent="0.2">
      <c r="B1016" s="8">
        <v>44476</v>
      </c>
      <c r="C1016" s="9">
        <f t="shared" ca="1" si="60"/>
        <v>13678.464849968277</v>
      </c>
      <c r="D1016" s="9">
        <f t="shared" ca="1" si="61"/>
        <v>15105.382621462601</v>
      </c>
      <c r="E1016" s="10">
        <f t="shared" ca="1" si="62"/>
        <v>5.3796875431803726E-2</v>
      </c>
      <c r="G1016" s="8">
        <v>44476</v>
      </c>
      <c r="H1016" s="10">
        <f t="shared" ca="1" si="63"/>
        <v>6.4554066542260743E-2</v>
      </c>
    </row>
    <row r="1017" spans="2:8" hidden="1" x14ac:dyDescent="0.2">
      <c r="B1017" s="8">
        <v>44477</v>
      </c>
      <c r="C1017" s="9">
        <f t="shared" ca="1" si="60"/>
        <v>13337.841443698933</v>
      </c>
      <c r="D1017" s="9">
        <f t="shared" ca="1" si="61"/>
        <v>17179.394300187632</v>
      </c>
      <c r="E1017" s="10">
        <f t="shared" ca="1" si="62"/>
        <v>7.3845352374727655E-2</v>
      </c>
      <c r="G1017" s="8">
        <v>44477</v>
      </c>
      <c r="H1017" s="10">
        <f t="shared" ca="1" si="63"/>
        <v>8.7221593574023375E-4</v>
      </c>
    </row>
    <row r="1018" spans="2:8" hidden="1" x14ac:dyDescent="0.2">
      <c r="B1018" s="8">
        <v>44478</v>
      </c>
      <c r="C1018" s="9">
        <f t="shared" ca="1" si="60"/>
        <v>17708.866481718898</v>
      </c>
      <c r="D1018" s="9">
        <f t="shared" ca="1" si="61"/>
        <v>11589.070068882935</v>
      </c>
      <c r="E1018" s="10">
        <f t="shared" ca="1" si="62"/>
        <v>0.14428542232173228</v>
      </c>
      <c r="G1018" s="8">
        <v>44478</v>
      </c>
      <c r="H1018" s="10">
        <f t="shared" ca="1" si="63"/>
        <v>4.4392243623379006E-2</v>
      </c>
    </row>
    <row r="1019" spans="2:8" hidden="1" x14ac:dyDescent="0.2">
      <c r="B1019" s="8">
        <v>44479</v>
      </c>
      <c r="C1019" s="9">
        <f t="shared" ca="1" si="60"/>
        <v>10938.929364031912</v>
      </c>
      <c r="D1019" s="9">
        <f t="shared" ca="1" si="61"/>
        <v>14925.798729657674</v>
      </c>
      <c r="E1019" s="10">
        <f t="shared" ca="1" si="62"/>
        <v>0.20227587623686041</v>
      </c>
      <c r="G1019" s="8">
        <v>44479</v>
      </c>
      <c r="H1019" s="10">
        <f t="shared" ca="1" si="63"/>
        <v>5.6066129872531872E-2</v>
      </c>
    </row>
    <row r="1020" spans="2:8" hidden="1" x14ac:dyDescent="0.2">
      <c r="B1020" s="8">
        <v>44480</v>
      </c>
      <c r="C1020" s="9">
        <f t="shared" ca="1" si="60"/>
        <v>13548.088285694961</v>
      </c>
      <c r="D1020" s="9">
        <f t="shared" ca="1" si="61"/>
        <v>14551.528717517638</v>
      </c>
      <c r="E1020" s="10">
        <f t="shared" ca="1" si="62"/>
        <v>1.7183468206121266E-3</v>
      </c>
      <c r="G1020" s="8">
        <v>44480</v>
      </c>
      <c r="H1020" s="10">
        <f t="shared" ca="1" si="63"/>
        <v>1.5996693660832787E-2</v>
      </c>
    </row>
    <row r="1021" spans="2:8" hidden="1" x14ac:dyDescent="0.2">
      <c r="B1021" s="8">
        <v>44481</v>
      </c>
      <c r="C1021" s="9">
        <f t="shared" ca="1" si="60"/>
        <v>16637.023078043683</v>
      </c>
      <c r="D1021" s="9">
        <f t="shared" ca="1" si="61"/>
        <v>15774.450275044554</v>
      </c>
      <c r="E1021" s="10">
        <f t="shared" ca="1" si="62"/>
        <v>6.0042211881380467E-2</v>
      </c>
      <c r="G1021" s="8">
        <v>44481</v>
      </c>
      <c r="H1021" s="10">
        <f t="shared" ca="1" si="63"/>
        <v>4.1311701295535616E-2</v>
      </c>
    </row>
    <row r="1022" spans="2:8" hidden="1" x14ac:dyDescent="0.2">
      <c r="B1022" s="8">
        <v>44482</v>
      </c>
      <c r="C1022" s="9">
        <f t="shared" ca="1" si="60"/>
        <v>14964.075656617688</v>
      </c>
      <c r="D1022" s="9">
        <f t="shared" ca="1" si="61"/>
        <v>13180.546115831947</v>
      </c>
      <c r="E1022" s="10">
        <f t="shared" ca="1" si="62"/>
        <v>0.2879628249492725</v>
      </c>
      <c r="G1022" s="8">
        <v>44482</v>
      </c>
      <c r="H1022" s="10">
        <f t="shared" ca="1" si="63"/>
        <v>7.6392343886321767E-3</v>
      </c>
    </row>
    <row r="1023" spans="2:8" hidden="1" x14ac:dyDescent="0.2">
      <c r="B1023" s="8">
        <v>44483</v>
      </c>
      <c r="C1023" s="9">
        <f t="shared" ca="1" si="60"/>
        <v>15325.889493581066</v>
      </c>
      <c r="D1023" s="9">
        <f t="shared" ca="1" si="61"/>
        <v>14648.377874569636</v>
      </c>
      <c r="E1023" s="10">
        <f t="shared" ca="1" si="62"/>
        <v>7.2393135525411531E-2</v>
      </c>
      <c r="G1023" s="8">
        <v>44483</v>
      </c>
      <c r="H1023" s="10">
        <f t="shared" ca="1" si="63"/>
        <v>5.582702311120645E-2</v>
      </c>
    </row>
    <row r="1024" spans="2:8" hidden="1" x14ac:dyDescent="0.2">
      <c r="B1024" s="8">
        <v>44484</v>
      </c>
      <c r="C1024" s="9">
        <f t="shared" ca="1" si="60"/>
        <v>13046.156682779319</v>
      </c>
      <c r="D1024" s="9">
        <f t="shared" ca="1" si="61"/>
        <v>12497.911467803651</v>
      </c>
      <c r="E1024" s="10">
        <f t="shared" ca="1" si="62"/>
        <v>9.543409717764241E-2</v>
      </c>
      <c r="G1024" s="8">
        <v>44484</v>
      </c>
      <c r="H1024" s="10">
        <f t="shared" ca="1" si="63"/>
        <v>3.2166928875643125E-2</v>
      </c>
    </row>
    <row r="1025" spans="2:8" hidden="1" x14ac:dyDescent="0.2">
      <c r="B1025" s="8">
        <v>44485</v>
      </c>
      <c r="C1025" s="9">
        <f t="shared" ca="1" si="60"/>
        <v>11017.224443368741</v>
      </c>
      <c r="D1025" s="9">
        <f t="shared" ca="1" si="61"/>
        <v>10080.296584166204</v>
      </c>
      <c r="E1025" s="10">
        <f t="shared" ca="1" si="62"/>
        <v>0.2282496874219728</v>
      </c>
      <c r="G1025" s="8">
        <v>44485</v>
      </c>
      <c r="H1025" s="10">
        <f t="shared" ca="1" si="63"/>
        <v>5.533899019135171E-2</v>
      </c>
    </row>
    <row r="1026" spans="2:8" hidden="1" x14ac:dyDescent="0.2">
      <c r="B1026" s="8">
        <v>44486</v>
      </c>
      <c r="C1026" s="9">
        <f t="shared" ca="1" si="60"/>
        <v>16643.224414252116</v>
      </c>
      <c r="D1026" s="9">
        <f t="shared" ca="1" si="61"/>
        <v>11558.97441272542</v>
      </c>
      <c r="E1026" s="10">
        <f t="shared" ca="1" si="62"/>
        <v>0.12381462971632756</v>
      </c>
      <c r="G1026" s="8">
        <v>44486</v>
      </c>
      <c r="H1026" s="10">
        <f t="shared" ca="1" si="63"/>
        <v>1.6373988414631387E-2</v>
      </c>
    </row>
    <row r="1027" spans="2:8" hidden="1" x14ac:dyDescent="0.2">
      <c r="B1027" s="8">
        <v>44487</v>
      </c>
      <c r="C1027" s="9">
        <f t="shared" ca="1" si="60"/>
        <v>12818.125247667915</v>
      </c>
      <c r="D1027" s="9">
        <f t="shared" ca="1" si="61"/>
        <v>17726.486191793239</v>
      </c>
      <c r="E1027" s="10">
        <f t="shared" ca="1" si="62"/>
        <v>0.18411000040133466</v>
      </c>
      <c r="G1027" s="8">
        <v>44487</v>
      </c>
      <c r="H1027" s="10">
        <f t="shared" ca="1" si="63"/>
        <v>2.6185860031449723E-2</v>
      </c>
    </row>
    <row r="1028" spans="2:8" hidden="1" x14ac:dyDescent="0.2">
      <c r="B1028" s="8">
        <v>44488</v>
      </c>
      <c r="C1028" s="9">
        <f t="shared" ca="1" si="60"/>
        <v>10490.423622596327</v>
      </c>
      <c r="D1028" s="9">
        <f t="shared" ca="1" si="61"/>
        <v>13455.011769273764</v>
      </c>
      <c r="E1028" s="10">
        <f t="shared" ca="1" si="62"/>
        <v>2.3793489969200075E-2</v>
      </c>
      <c r="G1028" s="8">
        <v>44488</v>
      </c>
      <c r="H1028" s="10">
        <f t="shared" ca="1" si="63"/>
        <v>2.8604173866022386E-2</v>
      </c>
    </row>
    <row r="1029" spans="2:8" hidden="1" x14ac:dyDescent="0.2">
      <c r="B1029" s="8">
        <v>44489</v>
      </c>
      <c r="C1029" s="9">
        <f t="shared" ca="1" si="60"/>
        <v>16501.724034270788</v>
      </c>
      <c r="D1029" s="9">
        <f t="shared" ca="1" si="61"/>
        <v>10936.956385249363</v>
      </c>
      <c r="E1029" s="10">
        <f t="shared" ca="1" si="62"/>
        <v>0.19998183615455103</v>
      </c>
      <c r="G1029" s="8">
        <v>44489</v>
      </c>
      <c r="H1029" s="10">
        <f t="shared" ca="1" si="63"/>
        <v>3.3947707922988478E-2</v>
      </c>
    </row>
    <row r="1030" spans="2:8" hidden="1" x14ac:dyDescent="0.2">
      <c r="B1030" s="8">
        <v>44490</v>
      </c>
      <c r="C1030" s="9">
        <f t="shared" ca="1" si="60"/>
        <v>17906.85659237982</v>
      </c>
      <c r="D1030" s="9">
        <f t="shared" ca="1" si="61"/>
        <v>14318.55360632568</v>
      </c>
      <c r="E1030" s="10">
        <f t="shared" ca="1" si="62"/>
        <v>0.25824938079678261</v>
      </c>
      <c r="G1030" s="8">
        <v>44490</v>
      </c>
      <c r="H1030" s="10">
        <f t="shared" ca="1" si="63"/>
        <v>1.8499975286232328E-2</v>
      </c>
    </row>
    <row r="1031" spans="2:8" hidden="1" x14ac:dyDescent="0.2">
      <c r="B1031" s="8">
        <v>44491</v>
      </c>
      <c r="C1031" s="9">
        <f t="shared" ref="C1031:C1094" ca="1" si="64">RAND()*(18000-10000)+10000</f>
        <v>11684.375955652455</v>
      </c>
      <c r="D1031" s="9">
        <f t="shared" ref="D1031:D1094" ca="1" si="65">RAND()*(18000-10000)+10000</f>
        <v>11328.55428096476</v>
      </c>
      <c r="E1031" s="10">
        <f t="shared" ref="E1031:E1094" ca="1" si="66">RAND()*(30%-0%)+0%</f>
        <v>0.14308969149486558</v>
      </c>
      <c r="G1031" s="8">
        <v>44491</v>
      </c>
      <c r="H1031" s="10">
        <f t="shared" ref="H1031:H1094" ca="1" si="67">RAND()*(7%-0%)+0%</f>
        <v>5.2214633655998058E-2</v>
      </c>
    </row>
    <row r="1032" spans="2:8" hidden="1" x14ac:dyDescent="0.2">
      <c r="B1032" s="8">
        <v>44492</v>
      </c>
      <c r="C1032" s="9">
        <f t="shared" ca="1" si="64"/>
        <v>15242.829257747258</v>
      </c>
      <c r="D1032" s="9">
        <f t="shared" ca="1" si="65"/>
        <v>14789.903787047944</v>
      </c>
      <c r="E1032" s="10">
        <f t="shared" ca="1" si="66"/>
        <v>3.537937070036113E-2</v>
      </c>
      <c r="G1032" s="8">
        <v>44492</v>
      </c>
      <c r="H1032" s="10">
        <f t="shared" ca="1" si="67"/>
        <v>5.0354006252952797E-2</v>
      </c>
    </row>
    <row r="1033" spans="2:8" hidden="1" x14ac:dyDescent="0.2">
      <c r="B1033" s="8">
        <v>44493</v>
      </c>
      <c r="C1033" s="9">
        <f t="shared" ca="1" si="64"/>
        <v>12522.113482882241</v>
      </c>
      <c r="D1033" s="9">
        <f t="shared" ca="1" si="65"/>
        <v>17106.334858067781</v>
      </c>
      <c r="E1033" s="10">
        <f t="shared" ca="1" si="66"/>
        <v>2.4830927672076585E-2</v>
      </c>
      <c r="G1033" s="8">
        <v>44493</v>
      </c>
      <c r="H1033" s="10">
        <f t="shared" ca="1" si="67"/>
        <v>3.2511631997169201E-2</v>
      </c>
    </row>
    <row r="1034" spans="2:8" hidden="1" x14ac:dyDescent="0.2">
      <c r="B1034" s="8">
        <v>44494</v>
      </c>
      <c r="C1034" s="9">
        <f t="shared" ca="1" si="64"/>
        <v>15907.626364162095</v>
      </c>
      <c r="D1034" s="9">
        <f t="shared" ca="1" si="65"/>
        <v>14186.142651190454</v>
      </c>
      <c r="E1034" s="10">
        <f t="shared" ca="1" si="66"/>
        <v>0.14466419399635155</v>
      </c>
      <c r="G1034" s="8">
        <v>44494</v>
      </c>
      <c r="H1034" s="10">
        <f t="shared" ca="1" si="67"/>
        <v>6.9193389366518504E-2</v>
      </c>
    </row>
    <row r="1035" spans="2:8" hidden="1" x14ac:dyDescent="0.2">
      <c r="B1035" s="8">
        <v>44495</v>
      </c>
      <c r="C1035" s="9">
        <f t="shared" ca="1" si="64"/>
        <v>14810.003473178025</v>
      </c>
      <c r="D1035" s="9">
        <f t="shared" ca="1" si="65"/>
        <v>13800.502072733772</v>
      </c>
      <c r="E1035" s="10">
        <f t="shared" ca="1" si="66"/>
        <v>0.20342240098719128</v>
      </c>
      <c r="G1035" s="8">
        <v>44495</v>
      </c>
      <c r="H1035" s="10">
        <f t="shared" ca="1" si="67"/>
        <v>6.5335442918467823E-2</v>
      </c>
    </row>
    <row r="1036" spans="2:8" hidden="1" x14ac:dyDescent="0.2">
      <c r="B1036" s="8">
        <v>44496</v>
      </c>
      <c r="C1036" s="9">
        <f t="shared" ca="1" si="64"/>
        <v>14209.913081305345</v>
      </c>
      <c r="D1036" s="9">
        <f t="shared" ca="1" si="65"/>
        <v>10367.174408117382</v>
      </c>
      <c r="E1036" s="10">
        <f t="shared" ca="1" si="66"/>
        <v>0.16622231224234366</v>
      </c>
      <c r="G1036" s="8">
        <v>44496</v>
      </c>
      <c r="H1036" s="10">
        <f t="shared" ca="1" si="67"/>
        <v>3.7104483039791046E-2</v>
      </c>
    </row>
    <row r="1037" spans="2:8" hidden="1" x14ac:dyDescent="0.2">
      <c r="B1037" s="8">
        <v>44497</v>
      </c>
      <c r="C1037" s="9">
        <f t="shared" ca="1" si="64"/>
        <v>11817.401691686706</v>
      </c>
      <c r="D1037" s="9">
        <f t="shared" ca="1" si="65"/>
        <v>15490.773192060238</v>
      </c>
      <c r="E1037" s="10">
        <f t="shared" ca="1" si="66"/>
        <v>6.4073927791937629E-2</v>
      </c>
      <c r="G1037" s="8">
        <v>44497</v>
      </c>
      <c r="H1037" s="10">
        <f t="shared" ca="1" si="67"/>
        <v>5.5453325444830073E-3</v>
      </c>
    </row>
    <row r="1038" spans="2:8" hidden="1" x14ac:dyDescent="0.2">
      <c r="B1038" s="8">
        <v>44498</v>
      </c>
      <c r="C1038" s="9">
        <f t="shared" ca="1" si="64"/>
        <v>17434.521089718492</v>
      </c>
      <c r="D1038" s="9">
        <f t="shared" ca="1" si="65"/>
        <v>15880.24640113133</v>
      </c>
      <c r="E1038" s="10">
        <f t="shared" ca="1" si="66"/>
        <v>0.15049233079058663</v>
      </c>
      <c r="G1038" s="8">
        <v>44498</v>
      </c>
      <c r="H1038" s="10">
        <f t="shared" ca="1" si="67"/>
        <v>1.1353496303041733E-2</v>
      </c>
    </row>
    <row r="1039" spans="2:8" hidden="1" x14ac:dyDescent="0.2">
      <c r="B1039" s="8">
        <v>44499</v>
      </c>
      <c r="C1039" s="9">
        <f t="shared" ca="1" si="64"/>
        <v>15240.446787586141</v>
      </c>
      <c r="D1039" s="9">
        <f t="shared" ca="1" si="65"/>
        <v>14350.741810498115</v>
      </c>
      <c r="E1039" s="10">
        <f t="shared" ca="1" si="66"/>
        <v>4.1785743383470873E-2</v>
      </c>
      <c r="G1039" s="8">
        <v>44499</v>
      </c>
      <c r="H1039" s="10">
        <f t="shared" ca="1" si="67"/>
        <v>4.9758360149446103E-2</v>
      </c>
    </row>
    <row r="1040" spans="2:8" hidden="1" x14ac:dyDescent="0.2">
      <c r="B1040" s="8">
        <v>44500</v>
      </c>
      <c r="C1040" s="9">
        <f t="shared" ca="1" si="64"/>
        <v>17212.057643358341</v>
      </c>
      <c r="D1040" s="9">
        <f t="shared" ca="1" si="65"/>
        <v>10182.644618146089</v>
      </c>
      <c r="E1040" s="10">
        <f t="shared" ca="1" si="66"/>
        <v>0.2698191111510958</v>
      </c>
      <c r="G1040" s="8">
        <v>44500</v>
      </c>
      <c r="H1040" s="10">
        <f t="shared" ca="1" si="67"/>
        <v>1.6456605485568328E-2</v>
      </c>
    </row>
    <row r="1041" spans="2:8" hidden="1" x14ac:dyDescent="0.2">
      <c r="B1041" s="8">
        <v>44501</v>
      </c>
      <c r="C1041" s="9">
        <f t="shared" ca="1" si="64"/>
        <v>12166.523578203221</v>
      </c>
      <c r="D1041" s="9">
        <f t="shared" ca="1" si="65"/>
        <v>15024.980159980132</v>
      </c>
      <c r="E1041" s="10">
        <f t="shared" ca="1" si="66"/>
        <v>0.25823399137584746</v>
      </c>
      <c r="G1041" s="8">
        <v>44501</v>
      </c>
      <c r="H1041" s="10">
        <f t="shared" ca="1" si="67"/>
        <v>6.4444095566593099E-2</v>
      </c>
    </row>
    <row r="1042" spans="2:8" hidden="1" x14ac:dyDescent="0.2">
      <c r="B1042" s="8">
        <v>44502</v>
      </c>
      <c r="C1042" s="9">
        <f t="shared" ca="1" si="64"/>
        <v>14700.544415180077</v>
      </c>
      <c r="D1042" s="9">
        <f t="shared" ca="1" si="65"/>
        <v>14152.437846712008</v>
      </c>
      <c r="E1042" s="10">
        <f t="shared" ca="1" si="66"/>
        <v>5.9219074736359567E-2</v>
      </c>
      <c r="G1042" s="8">
        <v>44502</v>
      </c>
      <c r="H1042" s="10">
        <f t="shared" ca="1" si="67"/>
        <v>3.1777486363156728E-2</v>
      </c>
    </row>
    <row r="1043" spans="2:8" hidden="1" x14ac:dyDescent="0.2">
      <c r="B1043" s="8">
        <v>44503</v>
      </c>
      <c r="C1043" s="9">
        <f t="shared" ca="1" si="64"/>
        <v>10764.253680455493</v>
      </c>
      <c r="D1043" s="9">
        <f t="shared" ca="1" si="65"/>
        <v>17953.966603441168</v>
      </c>
      <c r="E1043" s="10">
        <f t="shared" ca="1" si="66"/>
        <v>0.19950406707769672</v>
      </c>
      <c r="G1043" s="8">
        <v>44503</v>
      </c>
      <c r="H1043" s="10">
        <f t="shared" ca="1" si="67"/>
        <v>4.4941763389251432E-2</v>
      </c>
    </row>
    <row r="1044" spans="2:8" hidden="1" x14ac:dyDescent="0.2">
      <c r="B1044" s="8">
        <v>44504</v>
      </c>
      <c r="C1044" s="9">
        <f t="shared" ca="1" si="64"/>
        <v>12091.714500318418</v>
      </c>
      <c r="D1044" s="9">
        <f t="shared" ca="1" si="65"/>
        <v>12085.593197011822</v>
      </c>
      <c r="E1044" s="10">
        <f t="shared" ca="1" si="66"/>
        <v>0.28160831604438052</v>
      </c>
      <c r="G1044" s="8">
        <v>44504</v>
      </c>
      <c r="H1044" s="10">
        <f t="shared" ca="1" si="67"/>
        <v>6.4747427307129443E-2</v>
      </c>
    </row>
    <row r="1045" spans="2:8" hidden="1" x14ac:dyDescent="0.2">
      <c r="B1045" s="8">
        <v>44505</v>
      </c>
      <c r="C1045" s="9">
        <f t="shared" ca="1" si="64"/>
        <v>12917.15862071727</v>
      </c>
      <c r="D1045" s="9">
        <f t="shared" ca="1" si="65"/>
        <v>14912.080882752207</v>
      </c>
      <c r="E1045" s="10">
        <f t="shared" ca="1" si="66"/>
        <v>0.11215485183305929</v>
      </c>
      <c r="G1045" s="8">
        <v>44505</v>
      </c>
      <c r="H1045" s="10">
        <f t="shared" ca="1" si="67"/>
        <v>6.1802608084870793E-2</v>
      </c>
    </row>
    <row r="1046" spans="2:8" hidden="1" x14ac:dyDescent="0.2">
      <c r="B1046" s="8">
        <v>44506</v>
      </c>
      <c r="C1046" s="9">
        <f t="shared" ca="1" si="64"/>
        <v>12263.310019688775</v>
      </c>
      <c r="D1046" s="9">
        <f t="shared" ca="1" si="65"/>
        <v>15621.605631025395</v>
      </c>
      <c r="E1046" s="10">
        <f t="shared" ca="1" si="66"/>
        <v>5.9471029791800412E-2</v>
      </c>
      <c r="G1046" s="8">
        <v>44506</v>
      </c>
      <c r="H1046" s="10">
        <f t="shared" ca="1" si="67"/>
        <v>3.1480750417579188E-2</v>
      </c>
    </row>
    <row r="1047" spans="2:8" hidden="1" x14ac:dyDescent="0.2">
      <c r="B1047" s="8">
        <v>44507</v>
      </c>
      <c r="C1047" s="9">
        <f t="shared" ca="1" si="64"/>
        <v>12394.241448040893</v>
      </c>
      <c r="D1047" s="9">
        <f t="shared" ca="1" si="65"/>
        <v>11690.376608421702</v>
      </c>
      <c r="E1047" s="10">
        <f t="shared" ca="1" si="66"/>
        <v>0.22987930809785201</v>
      </c>
      <c r="G1047" s="8">
        <v>44507</v>
      </c>
      <c r="H1047" s="10">
        <f t="shared" ca="1" si="67"/>
        <v>4.8403088812226866E-2</v>
      </c>
    </row>
    <row r="1048" spans="2:8" hidden="1" x14ac:dyDescent="0.2">
      <c r="B1048" s="8">
        <v>44508</v>
      </c>
      <c r="C1048" s="9">
        <f t="shared" ca="1" si="64"/>
        <v>10639.070034151697</v>
      </c>
      <c r="D1048" s="9">
        <f t="shared" ca="1" si="65"/>
        <v>15993.841847810747</v>
      </c>
      <c r="E1048" s="10">
        <f t="shared" ca="1" si="66"/>
        <v>0.14819848034538008</v>
      </c>
      <c r="G1048" s="8">
        <v>44508</v>
      </c>
      <c r="H1048" s="10">
        <f t="shared" ca="1" si="67"/>
        <v>5.8419820107271654E-2</v>
      </c>
    </row>
    <row r="1049" spans="2:8" hidden="1" x14ac:dyDescent="0.2">
      <c r="B1049" s="8">
        <v>44509</v>
      </c>
      <c r="C1049" s="9">
        <f t="shared" ca="1" si="64"/>
        <v>16650.123600766019</v>
      </c>
      <c r="D1049" s="9">
        <f t="shared" ca="1" si="65"/>
        <v>12604.836345587668</v>
      </c>
      <c r="E1049" s="10">
        <f t="shared" ca="1" si="66"/>
        <v>0.1001729467787866</v>
      </c>
      <c r="G1049" s="8">
        <v>44509</v>
      </c>
      <c r="H1049" s="10">
        <f t="shared" ca="1" si="67"/>
        <v>3.7732043015155182E-2</v>
      </c>
    </row>
    <row r="1050" spans="2:8" hidden="1" x14ac:dyDescent="0.2">
      <c r="B1050" s="8">
        <v>44510</v>
      </c>
      <c r="C1050" s="9">
        <f t="shared" ca="1" si="64"/>
        <v>11356.083179570118</v>
      </c>
      <c r="D1050" s="9">
        <f t="shared" ca="1" si="65"/>
        <v>10766.9706035282</v>
      </c>
      <c r="E1050" s="10">
        <f t="shared" ca="1" si="66"/>
        <v>7.7941688530836786E-2</v>
      </c>
      <c r="G1050" s="8">
        <v>44510</v>
      </c>
      <c r="H1050" s="10">
        <f t="shared" ca="1" si="67"/>
        <v>5.8367714092750281E-2</v>
      </c>
    </row>
    <row r="1051" spans="2:8" hidden="1" x14ac:dyDescent="0.2">
      <c r="B1051" s="8">
        <v>44511</v>
      </c>
      <c r="C1051" s="9">
        <f t="shared" ca="1" si="64"/>
        <v>15674.253585967837</v>
      </c>
      <c r="D1051" s="9">
        <f t="shared" ca="1" si="65"/>
        <v>17845.577300647092</v>
      </c>
      <c r="E1051" s="10">
        <f t="shared" ca="1" si="66"/>
        <v>0.21672087953918973</v>
      </c>
      <c r="G1051" s="8">
        <v>44511</v>
      </c>
      <c r="H1051" s="10">
        <f t="shared" ca="1" si="67"/>
        <v>6.3424582319071221E-2</v>
      </c>
    </row>
    <row r="1052" spans="2:8" hidden="1" x14ac:dyDescent="0.2">
      <c r="B1052" s="8">
        <v>44512</v>
      </c>
      <c r="C1052" s="9">
        <f t="shared" ca="1" si="64"/>
        <v>10499.213158416278</v>
      </c>
      <c r="D1052" s="9">
        <f t="shared" ca="1" si="65"/>
        <v>17881.320014692235</v>
      </c>
      <c r="E1052" s="10">
        <f t="shared" ca="1" si="66"/>
        <v>8.8124603130084314E-2</v>
      </c>
      <c r="G1052" s="8">
        <v>44512</v>
      </c>
      <c r="H1052" s="10">
        <f t="shared" ca="1" si="67"/>
        <v>3.8955436638943582E-2</v>
      </c>
    </row>
    <row r="1053" spans="2:8" hidden="1" x14ac:dyDescent="0.2">
      <c r="B1053" s="8">
        <v>44513</v>
      </c>
      <c r="C1053" s="9">
        <f t="shared" ca="1" si="64"/>
        <v>13861.797669384452</v>
      </c>
      <c r="D1053" s="9">
        <f t="shared" ca="1" si="65"/>
        <v>17689.299698660539</v>
      </c>
      <c r="E1053" s="10">
        <f t="shared" ca="1" si="66"/>
        <v>0.14865601570069792</v>
      </c>
      <c r="G1053" s="8">
        <v>44513</v>
      </c>
      <c r="H1053" s="10">
        <f t="shared" ca="1" si="67"/>
        <v>2.6590818510938346E-2</v>
      </c>
    </row>
    <row r="1054" spans="2:8" hidden="1" x14ac:dyDescent="0.2">
      <c r="B1054" s="8">
        <v>44514</v>
      </c>
      <c r="C1054" s="9">
        <f t="shared" ca="1" si="64"/>
        <v>10300.431280446106</v>
      </c>
      <c r="D1054" s="9">
        <f t="shared" ca="1" si="65"/>
        <v>11097.723178812072</v>
      </c>
      <c r="E1054" s="10">
        <f t="shared" ca="1" si="66"/>
        <v>0.28596608006987845</v>
      </c>
      <c r="G1054" s="8">
        <v>44514</v>
      </c>
      <c r="H1054" s="10">
        <f t="shared" ca="1" si="67"/>
        <v>1.2624279088002968E-2</v>
      </c>
    </row>
    <row r="1055" spans="2:8" hidden="1" x14ac:dyDescent="0.2">
      <c r="B1055" s="8">
        <v>44515</v>
      </c>
      <c r="C1055" s="9">
        <f t="shared" ca="1" si="64"/>
        <v>12042.415321813429</v>
      </c>
      <c r="D1055" s="9">
        <f t="shared" ca="1" si="65"/>
        <v>13814.755003350787</v>
      </c>
      <c r="E1055" s="10">
        <f t="shared" ca="1" si="66"/>
        <v>0.18114556347765867</v>
      </c>
      <c r="G1055" s="8">
        <v>44515</v>
      </c>
      <c r="H1055" s="10">
        <f t="shared" ca="1" si="67"/>
        <v>3.5493267754558494E-2</v>
      </c>
    </row>
    <row r="1056" spans="2:8" hidden="1" x14ac:dyDescent="0.2">
      <c r="B1056" s="8">
        <v>44516</v>
      </c>
      <c r="C1056" s="9">
        <f t="shared" ca="1" si="64"/>
        <v>15188.936149698065</v>
      </c>
      <c r="D1056" s="9">
        <f t="shared" ca="1" si="65"/>
        <v>10937.253236904866</v>
      </c>
      <c r="E1056" s="10">
        <f t="shared" ca="1" si="66"/>
        <v>0.2640238458229538</v>
      </c>
      <c r="G1056" s="8">
        <v>44516</v>
      </c>
      <c r="H1056" s="10">
        <f t="shared" ca="1" si="67"/>
        <v>3.1392714027057747E-2</v>
      </c>
    </row>
    <row r="1057" spans="2:8" hidden="1" x14ac:dyDescent="0.2">
      <c r="B1057" s="8">
        <v>44517</v>
      </c>
      <c r="C1057" s="9">
        <f t="shared" ca="1" si="64"/>
        <v>11902.085945495337</v>
      </c>
      <c r="D1057" s="9">
        <f t="shared" ca="1" si="65"/>
        <v>12548.398341077189</v>
      </c>
      <c r="E1057" s="10">
        <f t="shared" ca="1" si="66"/>
        <v>9.3638801185605983E-2</v>
      </c>
      <c r="G1057" s="8">
        <v>44517</v>
      </c>
      <c r="H1057" s="10">
        <f t="shared" ca="1" si="67"/>
        <v>1.4735390279484178E-2</v>
      </c>
    </row>
    <row r="1058" spans="2:8" hidden="1" x14ac:dyDescent="0.2">
      <c r="B1058" s="8">
        <v>44518</v>
      </c>
      <c r="C1058" s="9">
        <f t="shared" ca="1" si="64"/>
        <v>11319.857364003821</v>
      </c>
      <c r="D1058" s="9">
        <f t="shared" ca="1" si="65"/>
        <v>10263.54887150463</v>
      </c>
      <c r="E1058" s="10">
        <f t="shared" ca="1" si="66"/>
        <v>1.2797908719043448E-2</v>
      </c>
      <c r="G1058" s="8">
        <v>44518</v>
      </c>
      <c r="H1058" s="10">
        <f t="shared" ca="1" si="67"/>
        <v>3.8493901791768689E-2</v>
      </c>
    </row>
    <row r="1059" spans="2:8" hidden="1" x14ac:dyDescent="0.2">
      <c r="B1059" s="8">
        <v>44519</v>
      </c>
      <c r="C1059" s="9">
        <f t="shared" ca="1" si="64"/>
        <v>12043.008141552285</v>
      </c>
      <c r="D1059" s="9">
        <f t="shared" ca="1" si="65"/>
        <v>13512.636908617029</v>
      </c>
      <c r="E1059" s="10">
        <f t="shared" ca="1" si="66"/>
        <v>6.0519230227262438E-2</v>
      </c>
      <c r="G1059" s="8">
        <v>44519</v>
      </c>
      <c r="H1059" s="10">
        <f t="shared" ca="1" si="67"/>
        <v>6.9468272171837778E-2</v>
      </c>
    </row>
    <row r="1060" spans="2:8" hidden="1" x14ac:dyDescent="0.2">
      <c r="B1060" s="8">
        <v>44520</v>
      </c>
      <c r="C1060" s="9">
        <f t="shared" ca="1" si="64"/>
        <v>15412.783483416279</v>
      </c>
      <c r="D1060" s="9">
        <f t="shared" ca="1" si="65"/>
        <v>16918.536205975441</v>
      </c>
      <c r="E1060" s="10">
        <f t="shared" ca="1" si="66"/>
        <v>4.0873804047778572E-2</v>
      </c>
      <c r="G1060" s="8">
        <v>44520</v>
      </c>
      <c r="H1060" s="10">
        <f t="shared" ca="1" si="67"/>
        <v>6.8222662644313356E-2</v>
      </c>
    </row>
    <row r="1061" spans="2:8" hidden="1" x14ac:dyDescent="0.2">
      <c r="B1061" s="8">
        <v>44521</v>
      </c>
      <c r="C1061" s="9">
        <f t="shared" ca="1" si="64"/>
        <v>11841.492538074914</v>
      </c>
      <c r="D1061" s="9">
        <f t="shared" ca="1" si="65"/>
        <v>12040.47663473262</v>
      </c>
      <c r="E1061" s="10">
        <f t="shared" ca="1" si="66"/>
        <v>0.23410697720403065</v>
      </c>
      <c r="G1061" s="8">
        <v>44521</v>
      </c>
      <c r="H1061" s="10">
        <f t="shared" ca="1" si="67"/>
        <v>4.2535745975776439E-2</v>
      </c>
    </row>
    <row r="1062" spans="2:8" hidden="1" x14ac:dyDescent="0.2">
      <c r="B1062" s="8">
        <v>44522</v>
      </c>
      <c r="C1062" s="9">
        <f t="shared" ca="1" si="64"/>
        <v>10722.519405303776</v>
      </c>
      <c r="D1062" s="9">
        <f t="shared" ca="1" si="65"/>
        <v>15152.184572028847</v>
      </c>
      <c r="E1062" s="10">
        <f t="shared" ca="1" si="66"/>
        <v>0.23598615269308923</v>
      </c>
      <c r="G1062" s="8">
        <v>44522</v>
      </c>
      <c r="H1062" s="10">
        <f t="shared" ca="1" si="67"/>
        <v>4.7513167989384278E-2</v>
      </c>
    </row>
    <row r="1063" spans="2:8" hidden="1" x14ac:dyDescent="0.2">
      <c r="B1063" s="8">
        <v>44523</v>
      </c>
      <c r="C1063" s="9">
        <f t="shared" ca="1" si="64"/>
        <v>17863.925144704874</v>
      </c>
      <c r="D1063" s="9">
        <f t="shared" ca="1" si="65"/>
        <v>16552.679332495496</v>
      </c>
      <c r="E1063" s="10">
        <f t="shared" ca="1" si="66"/>
        <v>0.11959274359341633</v>
      </c>
      <c r="G1063" s="8">
        <v>44523</v>
      </c>
      <c r="H1063" s="10">
        <f t="shared" ca="1" si="67"/>
        <v>1.8981690909964741E-2</v>
      </c>
    </row>
    <row r="1064" spans="2:8" hidden="1" x14ac:dyDescent="0.2">
      <c r="B1064" s="8">
        <v>44524</v>
      </c>
      <c r="C1064" s="9">
        <f t="shared" ca="1" si="64"/>
        <v>17520.203682466465</v>
      </c>
      <c r="D1064" s="9">
        <f t="shared" ca="1" si="65"/>
        <v>15341.705081210146</v>
      </c>
      <c r="E1064" s="10">
        <f t="shared" ca="1" si="66"/>
        <v>5.9594870967048269E-2</v>
      </c>
      <c r="G1064" s="8">
        <v>44524</v>
      </c>
      <c r="H1064" s="10">
        <f t="shared" ca="1" si="67"/>
        <v>3.9360341699910692E-2</v>
      </c>
    </row>
    <row r="1065" spans="2:8" hidden="1" x14ac:dyDescent="0.2">
      <c r="B1065" s="8">
        <v>44525</v>
      </c>
      <c r="C1065" s="9">
        <f t="shared" ca="1" si="64"/>
        <v>10141.234389791254</v>
      </c>
      <c r="D1065" s="9">
        <f t="shared" ca="1" si="65"/>
        <v>13742.822515473781</v>
      </c>
      <c r="E1065" s="10">
        <f t="shared" ca="1" si="66"/>
        <v>0.24742971179599896</v>
      </c>
      <c r="G1065" s="8">
        <v>44525</v>
      </c>
      <c r="H1065" s="10">
        <f t="shared" ca="1" si="67"/>
        <v>5.3835426130846568E-2</v>
      </c>
    </row>
    <row r="1066" spans="2:8" hidden="1" x14ac:dyDescent="0.2">
      <c r="B1066" s="8">
        <v>44526</v>
      </c>
      <c r="C1066" s="9">
        <f t="shared" ca="1" si="64"/>
        <v>10364.376284440046</v>
      </c>
      <c r="D1066" s="9">
        <f t="shared" ca="1" si="65"/>
        <v>17876.247747132897</v>
      </c>
      <c r="E1066" s="10">
        <f t="shared" ca="1" si="66"/>
        <v>0.28489321878198409</v>
      </c>
      <c r="G1066" s="8">
        <v>44526</v>
      </c>
      <c r="H1066" s="10">
        <f t="shared" ca="1" si="67"/>
        <v>4.8460250346980066E-2</v>
      </c>
    </row>
    <row r="1067" spans="2:8" hidden="1" x14ac:dyDescent="0.2">
      <c r="B1067" s="8">
        <v>44527</v>
      </c>
      <c r="C1067" s="9">
        <f t="shared" ca="1" si="64"/>
        <v>12110.302607462247</v>
      </c>
      <c r="D1067" s="9">
        <f t="shared" ca="1" si="65"/>
        <v>12812.378834190991</v>
      </c>
      <c r="E1067" s="10">
        <f t="shared" ca="1" si="66"/>
        <v>0.1460269718346506</v>
      </c>
      <c r="G1067" s="8">
        <v>44527</v>
      </c>
      <c r="H1067" s="10">
        <f t="shared" ca="1" si="67"/>
        <v>3.5174154970658886E-2</v>
      </c>
    </row>
    <row r="1068" spans="2:8" hidden="1" x14ac:dyDescent="0.2">
      <c r="B1068" s="8">
        <v>44528</v>
      </c>
      <c r="C1068" s="9">
        <f t="shared" ca="1" si="64"/>
        <v>16898.758121945844</v>
      </c>
      <c r="D1068" s="9">
        <f t="shared" ca="1" si="65"/>
        <v>17435.912776056019</v>
      </c>
      <c r="E1068" s="10">
        <f t="shared" ca="1" si="66"/>
        <v>0.21602422317498443</v>
      </c>
      <c r="G1068" s="8">
        <v>44528</v>
      </c>
      <c r="H1068" s="10">
        <f t="shared" ca="1" si="67"/>
        <v>4.1050444943917713E-2</v>
      </c>
    </row>
    <row r="1069" spans="2:8" hidden="1" x14ac:dyDescent="0.2">
      <c r="B1069" s="8">
        <v>44529</v>
      </c>
      <c r="C1069" s="9">
        <f t="shared" ca="1" si="64"/>
        <v>14355.841316384343</v>
      </c>
      <c r="D1069" s="9">
        <f t="shared" ca="1" si="65"/>
        <v>17620.514272761709</v>
      </c>
      <c r="E1069" s="10">
        <f t="shared" ca="1" si="66"/>
        <v>5.0380789641110146E-2</v>
      </c>
      <c r="G1069" s="8">
        <v>44529</v>
      </c>
      <c r="H1069" s="10">
        <f t="shared" ca="1" si="67"/>
        <v>1.577330056205449E-2</v>
      </c>
    </row>
    <row r="1070" spans="2:8" hidden="1" x14ac:dyDescent="0.2">
      <c r="B1070" s="8">
        <v>44530</v>
      </c>
      <c r="C1070" s="9">
        <f t="shared" ca="1" si="64"/>
        <v>13004.864980802005</v>
      </c>
      <c r="D1070" s="9">
        <f t="shared" ca="1" si="65"/>
        <v>12100.249977594005</v>
      </c>
      <c r="E1070" s="10">
        <f t="shared" ca="1" si="66"/>
        <v>0.27218146946881727</v>
      </c>
      <c r="G1070" s="8">
        <v>44530</v>
      </c>
      <c r="H1070" s="10">
        <f t="shared" ca="1" si="67"/>
        <v>5.2505697096549932E-2</v>
      </c>
    </row>
    <row r="1071" spans="2:8" hidden="1" x14ac:dyDescent="0.2">
      <c r="B1071" s="8">
        <v>44531</v>
      </c>
      <c r="C1071" s="9">
        <f t="shared" ca="1" si="64"/>
        <v>16369.663024889394</v>
      </c>
      <c r="D1071" s="9">
        <f t="shared" ca="1" si="65"/>
        <v>10424.426497488736</v>
      </c>
      <c r="E1071" s="10">
        <f t="shared" ca="1" si="66"/>
        <v>0.19598111751009339</v>
      </c>
      <c r="G1071" s="8">
        <v>44531</v>
      </c>
      <c r="H1071" s="10">
        <f t="shared" ca="1" si="67"/>
        <v>5.6935038398098832E-2</v>
      </c>
    </row>
    <row r="1072" spans="2:8" hidden="1" x14ac:dyDescent="0.2">
      <c r="B1072" s="8">
        <v>44532</v>
      </c>
      <c r="C1072" s="9">
        <f t="shared" ca="1" si="64"/>
        <v>15460.514710816933</v>
      </c>
      <c r="D1072" s="9">
        <f t="shared" ca="1" si="65"/>
        <v>10964.267251772708</v>
      </c>
      <c r="E1072" s="10">
        <f t="shared" ca="1" si="66"/>
        <v>1.465251580215352E-2</v>
      </c>
      <c r="G1072" s="8">
        <v>44532</v>
      </c>
      <c r="H1072" s="10">
        <f t="shared" ca="1" si="67"/>
        <v>5.1728619896590312E-2</v>
      </c>
    </row>
    <row r="1073" spans="2:8" hidden="1" x14ac:dyDescent="0.2">
      <c r="B1073" s="8">
        <v>44533</v>
      </c>
      <c r="C1073" s="9">
        <f t="shared" ca="1" si="64"/>
        <v>12660.611358454551</v>
      </c>
      <c r="D1073" s="9">
        <f t="shared" ca="1" si="65"/>
        <v>12117.599106603115</v>
      </c>
      <c r="E1073" s="10">
        <f t="shared" ca="1" si="66"/>
        <v>0.23702736248626677</v>
      </c>
      <c r="G1073" s="8">
        <v>44533</v>
      </c>
      <c r="H1073" s="10">
        <f t="shared" ca="1" si="67"/>
        <v>6.4759762310239319E-2</v>
      </c>
    </row>
    <row r="1074" spans="2:8" hidden="1" x14ac:dyDescent="0.2">
      <c r="B1074" s="8">
        <v>44534</v>
      </c>
      <c r="C1074" s="9">
        <f t="shared" ca="1" si="64"/>
        <v>17255.683692497336</v>
      </c>
      <c r="D1074" s="9">
        <f t="shared" ca="1" si="65"/>
        <v>12993.65288558771</v>
      </c>
      <c r="E1074" s="10">
        <f t="shared" ca="1" si="66"/>
        <v>0.19912934388818271</v>
      </c>
      <c r="G1074" s="8">
        <v>44534</v>
      </c>
      <c r="H1074" s="10">
        <f t="shared" ca="1" si="67"/>
        <v>1.2351248153346286E-2</v>
      </c>
    </row>
    <row r="1075" spans="2:8" hidden="1" x14ac:dyDescent="0.2">
      <c r="B1075" s="8">
        <v>44535</v>
      </c>
      <c r="C1075" s="9">
        <f t="shared" ca="1" si="64"/>
        <v>16566.264710150164</v>
      </c>
      <c r="D1075" s="9">
        <f t="shared" ca="1" si="65"/>
        <v>13141.910021264539</v>
      </c>
      <c r="E1075" s="10">
        <f t="shared" ca="1" si="66"/>
        <v>0.1331269944026694</v>
      </c>
      <c r="G1075" s="8">
        <v>44535</v>
      </c>
      <c r="H1075" s="10">
        <f t="shared" ca="1" si="67"/>
        <v>2.0431089202751173E-2</v>
      </c>
    </row>
    <row r="1076" spans="2:8" hidden="1" x14ac:dyDescent="0.2">
      <c r="B1076" s="8">
        <v>44536</v>
      </c>
      <c r="C1076" s="9">
        <f t="shared" ca="1" si="64"/>
        <v>17619.583058261509</v>
      </c>
      <c r="D1076" s="9">
        <f t="shared" ca="1" si="65"/>
        <v>14236.984772758744</v>
      </c>
      <c r="E1076" s="10">
        <f t="shared" ca="1" si="66"/>
        <v>0.24195839282995907</v>
      </c>
      <c r="G1076" s="8">
        <v>44536</v>
      </c>
      <c r="H1076" s="10">
        <f t="shared" ca="1" si="67"/>
        <v>9.5363024481590758E-3</v>
      </c>
    </row>
    <row r="1077" spans="2:8" hidden="1" x14ac:dyDescent="0.2">
      <c r="B1077" s="8">
        <v>44537</v>
      </c>
      <c r="C1077" s="9">
        <f t="shared" ca="1" si="64"/>
        <v>13269.573546110625</v>
      </c>
      <c r="D1077" s="9">
        <f t="shared" ca="1" si="65"/>
        <v>16889.813168358269</v>
      </c>
      <c r="E1077" s="10">
        <f t="shared" ca="1" si="66"/>
        <v>0.23652700505715574</v>
      </c>
      <c r="G1077" s="8">
        <v>44537</v>
      </c>
      <c r="H1077" s="10">
        <f t="shared" ca="1" si="67"/>
        <v>3.3890012818035011E-3</v>
      </c>
    </row>
    <row r="1078" spans="2:8" hidden="1" x14ac:dyDescent="0.2">
      <c r="B1078" s="8">
        <v>44538</v>
      </c>
      <c r="C1078" s="9">
        <f t="shared" ca="1" si="64"/>
        <v>13859.325544807994</v>
      </c>
      <c r="D1078" s="9">
        <f t="shared" ca="1" si="65"/>
        <v>16304.96050547029</v>
      </c>
      <c r="E1078" s="10">
        <f t="shared" ca="1" si="66"/>
        <v>0.17149785187891889</v>
      </c>
      <c r="G1078" s="8">
        <v>44538</v>
      </c>
      <c r="H1078" s="10">
        <f t="shared" ca="1" si="67"/>
        <v>2.116241111562147E-2</v>
      </c>
    </row>
    <row r="1079" spans="2:8" hidden="1" x14ac:dyDescent="0.2">
      <c r="B1079" s="8">
        <v>44539</v>
      </c>
      <c r="C1079" s="9">
        <f t="shared" ca="1" si="64"/>
        <v>16416.192027485711</v>
      </c>
      <c r="D1079" s="9">
        <f t="shared" ca="1" si="65"/>
        <v>16757.075282296002</v>
      </c>
      <c r="E1079" s="10">
        <f t="shared" ca="1" si="66"/>
        <v>0.1811083527864151</v>
      </c>
      <c r="G1079" s="8">
        <v>44539</v>
      </c>
      <c r="H1079" s="10">
        <f t="shared" ca="1" si="67"/>
        <v>6.3793654452198645E-2</v>
      </c>
    </row>
    <row r="1080" spans="2:8" hidden="1" x14ac:dyDescent="0.2">
      <c r="B1080" s="8">
        <v>44540</v>
      </c>
      <c r="C1080" s="9">
        <f t="shared" ca="1" si="64"/>
        <v>15094.085018844755</v>
      </c>
      <c r="D1080" s="9">
        <f t="shared" ca="1" si="65"/>
        <v>16622.672009500257</v>
      </c>
      <c r="E1080" s="10">
        <f t="shared" ca="1" si="66"/>
        <v>0.10425121537756253</v>
      </c>
      <c r="G1080" s="8">
        <v>44540</v>
      </c>
      <c r="H1080" s="10">
        <f t="shared" ca="1" si="67"/>
        <v>2.8549901344383403E-4</v>
      </c>
    </row>
    <row r="1081" spans="2:8" hidden="1" x14ac:dyDescent="0.2">
      <c r="B1081" s="8">
        <v>44541</v>
      </c>
      <c r="C1081" s="9">
        <f t="shared" ca="1" si="64"/>
        <v>12011.947551369021</v>
      </c>
      <c r="D1081" s="9">
        <f t="shared" ca="1" si="65"/>
        <v>11594.604655504505</v>
      </c>
      <c r="E1081" s="10">
        <f t="shared" ca="1" si="66"/>
        <v>0.19355607007080697</v>
      </c>
      <c r="G1081" s="8">
        <v>44541</v>
      </c>
      <c r="H1081" s="10">
        <f t="shared" ca="1" si="67"/>
        <v>6.2366217757365762E-2</v>
      </c>
    </row>
    <row r="1082" spans="2:8" hidden="1" x14ac:dyDescent="0.2">
      <c r="B1082" s="8">
        <v>44542</v>
      </c>
      <c r="C1082" s="9">
        <f t="shared" ca="1" si="64"/>
        <v>17710.226111390522</v>
      </c>
      <c r="D1082" s="9">
        <f t="shared" ca="1" si="65"/>
        <v>13986.964214076961</v>
      </c>
      <c r="E1082" s="10">
        <f t="shared" ca="1" si="66"/>
        <v>0.21530025805118441</v>
      </c>
      <c r="G1082" s="8">
        <v>44542</v>
      </c>
      <c r="H1082" s="10">
        <f t="shared" ca="1" si="67"/>
        <v>3.308958739100936E-2</v>
      </c>
    </row>
    <row r="1083" spans="2:8" hidden="1" x14ac:dyDescent="0.2">
      <c r="B1083" s="8">
        <v>44543</v>
      </c>
      <c r="C1083" s="9">
        <f t="shared" ca="1" si="64"/>
        <v>17454.519583865986</v>
      </c>
      <c r="D1083" s="9">
        <f t="shared" ca="1" si="65"/>
        <v>17268.47903527454</v>
      </c>
      <c r="E1083" s="10">
        <f t="shared" ca="1" si="66"/>
        <v>0.26100606322786163</v>
      </c>
      <c r="G1083" s="8">
        <v>44543</v>
      </c>
      <c r="H1083" s="10">
        <f t="shared" ca="1" si="67"/>
        <v>2.2154485684389595E-2</v>
      </c>
    </row>
    <row r="1084" spans="2:8" hidden="1" x14ac:dyDescent="0.2">
      <c r="B1084" s="8">
        <v>44544</v>
      </c>
      <c r="C1084" s="9">
        <f t="shared" ca="1" si="64"/>
        <v>16680.487515404544</v>
      </c>
      <c r="D1084" s="9">
        <f t="shared" ca="1" si="65"/>
        <v>12750.334758633369</v>
      </c>
      <c r="E1084" s="10">
        <f t="shared" ca="1" si="66"/>
        <v>0.29260075823832637</v>
      </c>
      <c r="G1084" s="8">
        <v>44544</v>
      </c>
      <c r="H1084" s="10">
        <f t="shared" ca="1" si="67"/>
        <v>3.7949840765894305E-2</v>
      </c>
    </row>
    <row r="1085" spans="2:8" hidden="1" x14ac:dyDescent="0.2">
      <c r="B1085" s="8">
        <v>44545</v>
      </c>
      <c r="C1085" s="9">
        <f t="shared" ca="1" si="64"/>
        <v>13747.924882404152</v>
      </c>
      <c r="D1085" s="9">
        <f t="shared" ca="1" si="65"/>
        <v>16110.168620626249</v>
      </c>
      <c r="E1085" s="10">
        <f t="shared" ca="1" si="66"/>
        <v>5.613756599914521E-3</v>
      </c>
      <c r="G1085" s="8">
        <v>44545</v>
      </c>
      <c r="H1085" s="10">
        <f t="shared" ca="1" si="67"/>
        <v>1.6235546522979444E-2</v>
      </c>
    </row>
    <row r="1086" spans="2:8" hidden="1" x14ac:dyDescent="0.2">
      <c r="B1086" s="8">
        <v>44546</v>
      </c>
      <c r="C1086" s="9">
        <f t="shared" ca="1" si="64"/>
        <v>16078.578081172773</v>
      </c>
      <c r="D1086" s="9">
        <f t="shared" ca="1" si="65"/>
        <v>15179.725964699297</v>
      </c>
      <c r="E1086" s="10">
        <f t="shared" ca="1" si="66"/>
        <v>2.6198834523156411E-2</v>
      </c>
      <c r="G1086" s="8">
        <v>44546</v>
      </c>
      <c r="H1086" s="10">
        <f t="shared" ca="1" si="67"/>
        <v>2.8797994986597877E-2</v>
      </c>
    </row>
    <row r="1087" spans="2:8" hidden="1" x14ac:dyDescent="0.2">
      <c r="B1087" s="8">
        <v>44547</v>
      </c>
      <c r="C1087" s="9">
        <f t="shared" ca="1" si="64"/>
        <v>10221.975350453151</v>
      </c>
      <c r="D1087" s="9">
        <f t="shared" ca="1" si="65"/>
        <v>13827.034261402692</v>
      </c>
      <c r="E1087" s="10">
        <f t="shared" ca="1" si="66"/>
        <v>0.21584835185575535</v>
      </c>
      <c r="G1087" s="8">
        <v>44547</v>
      </c>
      <c r="H1087" s="10">
        <f t="shared" ca="1" si="67"/>
        <v>4.5297173995666393E-2</v>
      </c>
    </row>
    <row r="1088" spans="2:8" hidden="1" x14ac:dyDescent="0.2">
      <c r="B1088" s="8">
        <v>44548</v>
      </c>
      <c r="C1088" s="9">
        <f t="shared" ca="1" si="64"/>
        <v>10387.181612932553</v>
      </c>
      <c r="D1088" s="9">
        <f t="shared" ca="1" si="65"/>
        <v>14559.774011326946</v>
      </c>
      <c r="E1088" s="10">
        <f t="shared" ca="1" si="66"/>
        <v>5.3681681107295319E-3</v>
      </c>
      <c r="G1088" s="8">
        <v>44548</v>
      </c>
      <c r="H1088" s="10">
        <f t="shared" ca="1" si="67"/>
        <v>4.8905038686743313E-2</v>
      </c>
    </row>
    <row r="1089" spans="1:9" hidden="1" x14ac:dyDescent="0.2">
      <c r="B1089" s="8">
        <v>44549</v>
      </c>
      <c r="C1089" s="9">
        <f t="shared" ca="1" si="64"/>
        <v>15055.579904706343</v>
      </c>
      <c r="D1089" s="9">
        <f t="shared" ca="1" si="65"/>
        <v>12058.94175179903</v>
      </c>
      <c r="E1089" s="10">
        <f t="shared" ca="1" si="66"/>
        <v>6.8223860931925742E-2</v>
      </c>
      <c r="G1089" s="8">
        <v>44549</v>
      </c>
      <c r="H1089" s="10">
        <f t="shared" ca="1" si="67"/>
        <v>6.5581754052444569E-2</v>
      </c>
    </row>
    <row r="1090" spans="1:9" hidden="1" x14ac:dyDescent="0.2">
      <c r="B1090" s="8">
        <v>44550</v>
      </c>
      <c r="C1090" s="9">
        <f t="shared" ca="1" si="64"/>
        <v>11323.770965449869</v>
      </c>
      <c r="D1090" s="9">
        <f t="shared" ca="1" si="65"/>
        <v>15214.615629203283</v>
      </c>
      <c r="E1090" s="10">
        <f t="shared" ca="1" si="66"/>
        <v>0.1605086141856216</v>
      </c>
      <c r="G1090" s="8">
        <v>44550</v>
      </c>
      <c r="H1090" s="10">
        <f t="shared" ca="1" si="67"/>
        <v>4.0162966853162924E-2</v>
      </c>
    </row>
    <row r="1091" spans="1:9" hidden="1" x14ac:dyDescent="0.2">
      <c r="B1091" s="8">
        <v>44551</v>
      </c>
      <c r="C1091" s="9">
        <f t="shared" ca="1" si="64"/>
        <v>10514.672011277673</v>
      </c>
      <c r="D1091" s="9">
        <f t="shared" ca="1" si="65"/>
        <v>11203.446308317616</v>
      </c>
      <c r="E1091" s="10">
        <f t="shared" ca="1" si="66"/>
        <v>0.10211335416186547</v>
      </c>
      <c r="G1091" s="8">
        <v>44551</v>
      </c>
      <c r="H1091" s="10">
        <f t="shared" ca="1" si="67"/>
        <v>6.4946864817590752E-2</v>
      </c>
    </row>
    <row r="1092" spans="1:9" hidden="1" x14ac:dyDescent="0.2">
      <c r="B1092" s="8">
        <v>44552</v>
      </c>
      <c r="C1092" s="9">
        <f t="shared" ca="1" si="64"/>
        <v>10711.01552202498</v>
      </c>
      <c r="D1092" s="9">
        <f t="shared" ca="1" si="65"/>
        <v>14029.400326358485</v>
      </c>
      <c r="E1092" s="10">
        <f t="shared" ca="1" si="66"/>
        <v>0.14664828249546266</v>
      </c>
      <c r="G1092" s="8">
        <v>44552</v>
      </c>
      <c r="H1092" s="10">
        <f t="shared" ca="1" si="67"/>
        <v>2.4531345981196551E-4</v>
      </c>
    </row>
    <row r="1093" spans="1:9" hidden="1" x14ac:dyDescent="0.2">
      <c r="B1093" s="8">
        <v>44553</v>
      </c>
      <c r="C1093" s="9">
        <f t="shared" ca="1" si="64"/>
        <v>10196.986938788634</v>
      </c>
      <c r="D1093" s="9">
        <f t="shared" ca="1" si="65"/>
        <v>14237.019721617591</v>
      </c>
      <c r="E1093" s="10">
        <f t="shared" ca="1" si="66"/>
        <v>0.28056447146453933</v>
      </c>
      <c r="G1093" s="8">
        <v>44553</v>
      </c>
      <c r="H1093" s="10">
        <f t="shared" ca="1" si="67"/>
        <v>5.1247676544321177E-2</v>
      </c>
    </row>
    <row r="1094" spans="1:9" hidden="1" x14ac:dyDescent="0.2">
      <c r="B1094" s="8">
        <v>44554</v>
      </c>
      <c r="C1094" s="9">
        <f t="shared" ca="1" si="64"/>
        <v>14880.617800152933</v>
      </c>
      <c r="D1094" s="9">
        <f t="shared" ca="1" si="65"/>
        <v>12819.390147980404</v>
      </c>
      <c r="E1094" s="10">
        <f t="shared" ca="1" si="66"/>
        <v>0.26934808677433081</v>
      </c>
      <c r="G1094" s="8">
        <v>44554</v>
      </c>
      <c r="H1094" s="10">
        <f t="shared" ca="1" si="67"/>
        <v>5.6983745621503514E-3</v>
      </c>
    </row>
    <row r="1095" spans="1:9" hidden="1" x14ac:dyDescent="0.2">
      <c r="B1095" s="8">
        <v>44555</v>
      </c>
      <c r="C1095" s="9">
        <f t="shared" ref="C1095:C1158" ca="1" si="68">RAND()*(18000-10000)+10000</f>
        <v>17500.453522175994</v>
      </c>
      <c r="D1095" s="9">
        <f t="shared" ref="D1095:D1101" ca="1" si="69">RAND()*(18000-10000)+10000</f>
        <v>13301.646220483279</v>
      </c>
      <c r="E1095" s="10">
        <f t="shared" ref="E1095:E1158" ca="1" si="70">RAND()*(30%-0%)+0%</f>
        <v>0.29290541126798253</v>
      </c>
      <c r="G1095" s="8">
        <v>44555</v>
      </c>
      <c r="H1095" s="10">
        <f t="shared" ref="H1095:H1101" ca="1" si="71">RAND()*(7%-0%)+0%</f>
        <v>1.1759901109326043E-2</v>
      </c>
    </row>
    <row r="1096" spans="1:9" hidden="1" x14ac:dyDescent="0.2">
      <c r="B1096" s="8">
        <v>44556</v>
      </c>
      <c r="C1096" s="9">
        <f t="shared" ca="1" si="68"/>
        <v>16459.345502564262</v>
      </c>
      <c r="D1096" s="9">
        <f t="shared" ca="1" si="69"/>
        <v>14368.582969696725</v>
      </c>
      <c r="E1096" s="10">
        <f t="shared" ca="1" si="70"/>
        <v>2.3118082877678758E-2</v>
      </c>
      <c r="G1096" s="8">
        <v>44556</v>
      </c>
      <c r="H1096" s="10">
        <f t="shared" ca="1" si="71"/>
        <v>4.3765691687103342E-2</v>
      </c>
    </row>
    <row r="1097" spans="1:9" hidden="1" x14ac:dyDescent="0.2">
      <c r="B1097" s="8">
        <v>44557</v>
      </c>
      <c r="C1097" s="9">
        <f t="shared" ca="1" si="68"/>
        <v>12546.542945137613</v>
      </c>
      <c r="D1097" s="9">
        <f t="shared" ca="1" si="69"/>
        <v>10418.686676619449</v>
      </c>
      <c r="E1097" s="10">
        <f t="shared" ca="1" si="70"/>
        <v>0.11899930068352495</v>
      </c>
      <c r="G1097" s="8">
        <v>44557</v>
      </c>
      <c r="H1097" s="10">
        <f t="shared" ca="1" si="71"/>
        <v>8.6474514481030152E-3</v>
      </c>
    </row>
    <row r="1098" spans="1:9" hidden="1" x14ac:dyDescent="0.2">
      <c r="B1098" s="8">
        <v>44558</v>
      </c>
      <c r="C1098" s="9">
        <f t="shared" ca="1" si="68"/>
        <v>17447.486594555645</v>
      </c>
      <c r="D1098" s="9">
        <f t="shared" ca="1" si="69"/>
        <v>12804.846116811474</v>
      </c>
      <c r="E1098" s="10">
        <f t="shared" ca="1" si="70"/>
        <v>0.18256980068852208</v>
      </c>
      <c r="G1098" s="8">
        <v>44558</v>
      </c>
      <c r="H1098" s="10">
        <f t="shared" ca="1" si="71"/>
        <v>2.6990697008439014E-2</v>
      </c>
    </row>
    <row r="1099" spans="1:9" hidden="1" x14ac:dyDescent="0.2">
      <c r="B1099" s="8">
        <v>44559</v>
      </c>
      <c r="C1099" s="9">
        <f t="shared" ca="1" si="68"/>
        <v>10771.293287206196</v>
      </c>
      <c r="D1099" s="9">
        <f t="shared" ca="1" si="69"/>
        <v>11086.370058477152</v>
      </c>
      <c r="E1099" s="10">
        <f t="shared" ca="1" si="70"/>
        <v>0.14345308540611171</v>
      </c>
      <c r="G1099" s="8">
        <v>44559</v>
      </c>
      <c r="H1099" s="10">
        <f t="shared" ca="1" si="71"/>
        <v>3.3041855523238864E-2</v>
      </c>
    </row>
    <row r="1100" spans="1:9" hidden="1" x14ac:dyDescent="0.2">
      <c r="B1100" s="8">
        <v>44560</v>
      </c>
      <c r="C1100" s="9">
        <f t="shared" ca="1" si="68"/>
        <v>13245.290726349362</v>
      </c>
      <c r="D1100" s="9">
        <f t="shared" ca="1" si="69"/>
        <v>11572.939269195827</v>
      </c>
      <c r="E1100" s="10">
        <f t="shared" ca="1" si="70"/>
        <v>2.3486898826227762E-2</v>
      </c>
      <c r="G1100" s="8">
        <v>44560</v>
      </c>
      <c r="H1100" s="10">
        <f t="shared" ca="1" si="71"/>
        <v>2.7775466431497073E-2</v>
      </c>
    </row>
    <row r="1101" spans="1:9" s="17" customFormat="1" x14ac:dyDescent="0.2">
      <c r="A1101" s="13"/>
      <c r="B1101" s="14">
        <v>44561</v>
      </c>
      <c r="C1101" s="15">
        <f t="shared" ca="1" si="68"/>
        <v>15042.381052080062</v>
      </c>
      <c r="D1101" s="15">
        <f t="shared" ca="1" si="69"/>
        <v>14767.702891208484</v>
      </c>
      <c r="E1101" s="16">
        <f t="shared" ca="1" si="70"/>
        <v>1.6268629157145942E-2</v>
      </c>
      <c r="F1101" s="13"/>
      <c r="G1101" s="14">
        <v>44561</v>
      </c>
      <c r="H1101" s="16">
        <f t="shared" ca="1" si="71"/>
        <v>2.0542831649199237E-3</v>
      </c>
      <c r="I1101" s="13"/>
    </row>
    <row r="1102" spans="1:9" hidden="1" x14ac:dyDescent="0.2">
      <c r="B1102" s="8">
        <v>44562</v>
      </c>
      <c r="C1102" s="9">
        <f t="shared" ca="1" si="68"/>
        <v>17737.057181857235</v>
      </c>
      <c r="D1102" s="9">
        <f ca="1">RAND()*(40000-10000)+10000</f>
        <v>29363.835143034328</v>
      </c>
      <c r="E1102" s="10">
        <f t="shared" ca="1" si="70"/>
        <v>0.26919861478807361</v>
      </c>
      <c r="G1102" s="8">
        <v>44562</v>
      </c>
      <c r="H1102" s="10">
        <f ca="1">RAND()*(40%-8%)+8%</f>
        <v>0.27903977597106339</v>
      </c>
    </row>
    <row r="1103" spans="1:9" hidden="1" x14ac:dyDescent="0.2">
      <c r="B1103" s="8">
        <v>44563</v>
      </c>
      <c r="C1103" s="9">
        <f t="shared" ca="1" si="68"/>
        <v>11012.959303200409</v>
      </c>
      <c r="D1103" s="9">
        <f t="shared" ref="D1103:D1166" ca="1" si="72">RAND()*(40000-10000)+10000</f>
        <v>29657.897071147574</v>
      </c>
      <c r="E1103" s="10">
        <f t="shared" ca="1" si="70"/>
        <v>0.23329276001244334</v>
      </c>
      <c r="G1103" s="8">
        <v>44563</v>
      </c>
      <c r="H1103" s="10">
        <f t="shared" ref="H1103:H1166" ca="1" si="73">RAND()*(40%-8%)+8%</f>
        <v>0.34451255482623416</v>
      </c>
    </row>
    <row r="1104" spans="1:9" hidden="1" x14ac:dyDescent="0.2">
      <c r="B1104" s="8">
        <v>44564</v>
      </c>
      <c r="C1104" s="9">
        <f t="shared" ca="1" si="68"/>
        <v>14410.884658512587</v>
      </c>
      <c r="D1104" s="9">
        <f t="shared" ca="1" si="72"/>
        <v>24514.617410945189</v>
      </c>
      <c r="E1104" s="10">
        <f t="shared" ca="1" si="70"/>
        <v>8.2939683584735094E-2</v>
      </c>
      <c r="G1104" s="8">
        <v>44564</v>
      </c>
      <c r="H1104" s="10">
        <f t="shared" ca="1" si="73"/>
        <v>0.13580875421077598</v>
      </c>
    </row>
    <row r="1105" spans="2:8" hidden="1" x14ac:dyDescent="0.2">
      <c r="B1105" s="8">
        <v>44565</v>
      </c>
      <c r="C1105" s="9">
        <f t="shared" ca="1" si="68"/>
        <v>10608.69015347477</v>
      </c>
      <c r="D1105" s="9">
        <f t="shared" ca="1" si="72"/>
        <v>10233.83117500084</v>
      </c>
      <c r="E1105" s="10">
        <f t="shared" ca="1" si="70"/>
        <v>1.2039726007448792E-2</v>
      </c>
      <c r="G1105" s="8">
        <v>44565</v>
      </c>
      <c r="H1105" s="10">
        <f t="shared" ca="1" si="73"/>
        <v>9.1588132760879015E-2</v>
      </c>
    </row>
    <row r="1106" spans="2:8" hidden="1" x14ac:dyDescent="0.2">
      <c r="B1106" s="8">
        <v>44566</v>
      </c>
      <c r="C1106" s="9">
        <f t="shared" ca="1" si="68"/>
        <v>13929.452102202675</v>
      </c>
      <c r="D1106" s="9">
        <f t="shared" ca="1" si="72"/>
        <v>17610.185165153434</v>
      </c>
      <c r="E1106" s="10">
        <f t="shared" ca="1" si="70"/>
        <v>2.9504228833994492E-2</v>
      </c>
      <c r="G1106" s="8">
        <v>44566</v>
      </c>
      <c r="H1106" s="10">
        <f t="shared" ca="1" si="73"/>
        <v>0.317510094973316</v>
      </c>
    </row>
    <row r="1107" spans="2:8" hidden="1" x14ac:dyDescent="0.2">
      <c r="B1107" s="8">
        <v>44567</v>
      </c>
      <c r="C1107" s="9">
        <f t="shared" ca="1" si="68"/>
        <v>10607.93243605371</v>
      </c>
      <c r="D1107" s="9">
        <f t="shared" ca="1" si="72"/>
        <v>21061.024860794998</v>
      </c>
      <c r="E1107" s="10">
        <f t="shared" ca="1" si="70"/>
        <v>0.29496853508187187</v>
      </c>
      <c r="G1107" s="8">
        <v>44567</v>
      </c>
      <c r="H1107" s="10">
        <f t="shared" ca="1" si="73"/>
        <v>0.3253383741127216</v>
      </c>
    </row>
    <row r="1108" spans="2:8" hidden="1" x14ac:dyDescent="0.2">
      <c r="B1108" s="8">
        <v>44568</v>
      </c>
      <c r="C1108" s="9">
        <f t="shared" ca="1" si="68"/>
        <v>11507.861754844131</v>
      </c>
      <c r="D1108" s="9">
        <f t="shared" ca="1" si="72"/>
        <v>12050.055304902318</v>
      </c>
      <c r="E1108" s="10">
        <f t="shared" ca="1" si="70"/>
        <v>0.1271556776467308</v>
      </c>
      <c r="G1108" s="8">
        <v>44568</v>
      </c>
      <c r="H1108" s="10">
        <f t="shared" ca="1" si="73"/>
        <v>0.22607918887855727</v>
      </c>
    </row>
    <row r="1109" spans="2:8" hidden="1" x14ac:dyDescent="0.2">
      <c r="B1109" s="8">
        <v>44569</v>
      </c>
      <c r="C1109" s="9">
        <f t="shared" ca="1" si="68"/>
        <v>12565.1588746791</v>
      </c>
      <c r="D1109" s="9">
        <f t="shared" ca="1" si="72"/>
        <v>30279.418346786984</v>
      </c>
      <c r="E1109" s="10">
        <f t="shared" ca="1" si="70"/>
        <v>0.26642598460447642</v>
      </c>
      <c r="G1109" s="8">
        <v>44569</v>
      </c>
      <c r="H1109" s="10">
        <f t="shared" ca="1" si="73"/>
        <v>0.2129516593391409</v>
      </c>
    </row>
    <row r="1110" spans="2:8" hidden="1" x14ac:dyDescent="0.2">
      <c r="B1110" s="8">
        <v>44570</v>
      </c>
      <c r="C1110" s="9">
        <f t="shared" ca="1" si="68"/>
        <v>15257.967483088098</v>
      </c>
      <c r="D1110" s="9">
        <f t="shared" ca="1" si="72"/>
        <v>13691.734022551524</v>
      </c>
      <c r="E1110" s="10">
        <f t="shared" ca="1" si="70"/>
        <v>2.6564689144769647E-2</v>
      </c>
      <c r="G1110" s="8">
        <v>44570</v>
      </c>
      <c r="H1110" s="10">
        <f t="shared" ca="1" si="73"/>
        <v>0.30821907816223476</v>
      </c>
    </row>
    <row r="1111" spans="2:8" hidden="1" x14ac:dyDescent="0.2">
      <c r="B1111" s="8">
        <v>44571</v>
      </c>
      <c r="C1111" s="9">
        <f t="shared" ca="1" si="68"/>
        <v>11539.110495378902</v>
      </c>
      <c r="D1111" s="9">
        <f t="shared" ca="1" si="72"/>
        <v>38295.249762044186</v>
      </c>
      <c r="E1111" s="10">
        <f t="shared" ca="1" si="70"/>
        <v>0.25613312380449604</v>
      </c>
      <c r="G1111" s="8">
        <v>44571</v>
      </c>
      <c r="H1111" s="10">
        <f t="shared" ca="1" si="73"/>
        <v>0.18100716252008747</v>
      </c>
    </row>
    <row r="1112" spans="2:8" hidden="1" x14ac:dyDescent="0.2">
      <c r="B1112" s="8">
        <v>44572</v>
      </c>
      <c r="C1112" s="9">
        <f t="shared" ca="1" si="68"/>
        <v>13177.886624835328</v>
      </c>
      <c r="D1112" s="9">
        <f t="shared" ca="1" si="72"/>
        <v>10963.413429266908</v>
      </c>
      <c r="E1112" s="10">
        <f t="shared" ca="1" si="70"/>
        <v>0.11512126857183246</v>
      </c>
      <c r="G1112" s="8">
        <v>44572</v>
      </c>
      <c r="H1112" s="10">
        <f t="shared" ca="1" si="73"/>
        <v>0.35155142189006516</v>
      </c>
    </row>
    <row r="1113" spans="2:8" hidden="1" x14ac:dyDescent="0.2">
      <c r="B1113" s="8">
        <v>44573</v>
      </c>
      <c r="C1113" s="9">
        <f t="shared" ca="1" si="68"/>
        <v>13353.854108361978</v>
      </c>
      <c r="D1113" s="9">
        <f t="shared" ca="1" si="72"/>
        <v>35796.361720255125</v>
      </c>
      <c r="E1113" s="10">
        <f t="shared" ca="1" si="70"/>
        <v>0.19786884298155283</v>
      </c>
      <c r="G1113" s="8">
        <v>44573</v>
      </c>
      <c r="H1113" s="10">
        <f t="shared" ca="1" si="73"/>
        <v>0.35690459341893321</v>
      </c>
    </row>
    <row r="1114" spans="2:8" hidden="1" x14ac:dyDescent="0.2">
      <c r="B1114" s="8">
        <v>44574</v>
      </c>
      <c r="C1114" s="9">
        <f t="shared" ca="1" si="68"/>
        <v>10562.993273918742</v>
      </c>
      <c r="D1114" s="9">
        <f t="shared" ca="1" si="72"/>
        <v>36691.771545898227</v>
      </c>
      <c r="E1114" s="10">
        <f t="shared" ca="1" si="70"/>
        <v>9.9384078290946268E-2</v>
      </c>
      <c r="G1114" s="8">
        <v>44574</v>
      </c>
      <c r="H1114" s="10">
        <f t="shared" ca="1" si="73"/>
        <v>0.1312346127926719</v>
      </c>
    </row>
    <row r="1115" spans="2:8" hidden="1" x14ac:dyDescent="0.2">
      <c r="B1115" s="8">
        <v>44575</v>
      </c>
      <c r="C1115" s="9">
        <f t="shared" ca="1" si="68"/>
        <v>16466.930249066238</v>
      </c>
      <c r="D1115" s="9">
        <f t="shared" ca="1" si="72"/>
        <v>22151.168256646975</v>
      </c>
      <c r="E1115" s="10">
        <f t="shared" ca="1" si="70"/>
        <v>0.2268161032036472</v>
      </c>
      <c r="G1115" s="8">
        <v>44575</v>
      </c>
      <c r="H1115" s="10">
        <f t="shared" ca="1" si="73"/>
        <v>0.30544194099840033</v>
      </c>
    </row>
    <row r="1116" spans="2:8" hidden="1" x14ac:dyDescent="0.2">
      <c r="B1116" s="8">
        <v>44576</v>
      </c>
      <c r="C1116" s="9">
        <f t="shared" ca="1" si="68"/>
        <v>13304.931570289489</v>
      </c>
      <c r="D1116" s="9">
        <f t="shared" ca="1" si="72"/>
        <v>24951.751900486583</v>
      </c>
      <c r="E1116" s="10">
        <f t="shared" ca="1" si="70"/>
        <v>8.2889625117447491E-2</v>
      </c>
      <c r="G1116" s="8">
        <v>44576</v>
      </c>
      <c r="H1116" s="10">
        <f t="shared" ca="1" si="73"/>
        <v>0.37716116832869101</v>
      </c>
    </row>
    <row r="1117" spans="2:8" hidden="1" x14ac:dyDescent="0.2">
      <c r="B1117" s="8">
        <v>44577</v>
      </c>
      <c r="C1117" s="9">
        <f t="shared" ca="1" si="68"/>
        <v>11869.371460109822</v>
      </c>
      <c r="D1117" s="9">
        <f t="shared" ca="1" si="72"/>
        <v>27143.039141168429</v>
      </c>
      <c r="E1117" s="10">
        <f t="shared" ca="1" si="70"/>
        <v>7.237846478710841E-3</v>
      </c>
      <c r="G1117" s="8">
        <v>44577</v>
      </c>
      <c r="H1117" s="10">
        <f t="shared" ca="1" si="73"/>
        <v>0.37234106637988645</v>
      </c>
    </row>
    <row r="1118" spans="2:8" hidden="1" x14ac:dyDescent="0.2">
      <c r="B1118" s="8">
        <v>44578</v>
      </c>
      <c r="C1118" s="9">
        <f t="shared" ca="1" si="68"/>
        <v>11862.325462028708</v>
      </c>
      <c r="D1118" s="9">
        <f t="shared" ca="1" si="72"/>
        <v>19307.241402808453</v>
      </c>
      <c r="E1118" s="10">
        <f t="shared" ca="1" si="70"/>
        <v>0.21126283953580643</v>
      </c>
      <c r="G1118" s="8">
        <v>44578</v>
      </c>
      <c r="H1118" s="10">
        <f t="shared" ca="1" si="73"/>
        <v>0.25693555797371692</v>
      </c>
    </row>
    <row r="1119" spans="2:8" hidden="1" x14ac:dyDescent="0.2">
      <c r="B1119" s="8">
        <v>44579</v>
      </c>
      <c r="C1119" s="9">
        <f t="shared" ca="1" si="68"/>
        <v>17237.427551107503</v>
      </c>
      <c r="D1119" s="9">
        <f t="shared" ca="1" si="72"/>
        <v>30231.748020098887</v>
      </c>
      <c r="E1119" s="10">
        <f t="shared" ca="1" si="70"/>
        <v>0.10458404626305855</v>
      </c>
      <c r="G1119" s="8">
        <v>44579</v>
      </c>
      <c r="H1119" s="10">
        <f t="shared" ca="1" si="73"/>
        <v>0.14152153296676367</v>
      </c>
    </row>
    <row r="1120" spans="2:8" hidden="1" x14ac:dyDescent="0.2">
      <c r="B1120" s="8">
        <v>44580</v>
      </c>
      <c r="C1120" s="9">
        <f t="shared" ca="1" si="68"/>
        <v>12785.676439791041</v>
      </c>
      <c r="D1120" s="9">
        <f t="shared" ca="1" si="72"/>
        <v>12561.577799248025</v>
      </c>
      <c r="E1120" s="10">
        <f t="shared" ca="1" si="70"/>
        <v>4.0147303913122122E-2</v>
      </c>
      <c r="G1120" s="8">
        <v>44580</v>
      </c>
      <c r="H1120" s="10">
        <f t="shared" ca="1" si="73"/>
        <v>0.23431267800236827</v>
      </c>
    </row>
    <row r="1121" spans="2:8" hidden="1" x14ac:dyDescent="0.2">
      <c r="B1121" s="8">
        <v>44581</v>
      </c>
      <c r="C1121" s="9">
        <f t="shared" ca="1" si="68"/>
        <v>17947.70772683758</v>
      </c>
      <c r="D1121" s="9">
        <f t="shared" ca="1" si="72"/>
        <v>30124.967024767928</v>
      </c>
      <c r="E1121" s="10">
        <f t="shared" ca="1" si="70"/>
        <v>0.22519553328988229</v>
      </c>
      <c r="G1121" s="8">
        <v>44581</v>
      </c>
      <c r="H1121" s="10">
        <f t="shared" ca="1" si="73"/>
        <v>0.33764896253853244</v>
      </c>
    </row>
    <row r="1122" spans="2:8" hidden="1" x14ac:dyDescent="0.2">
      <c r="B1122" s="8">
        <v>44582</v>
      </c>
      <c r="C1122" s="9">
        <f t="shared" ca="1" si="68"/>
        <v>11455.559320107604</v>
      </c>
      <c r="D1122" s="9">
        <f t="shared" ca="1" si="72"/>
        <v>18662.024089202474</v>
      </c>
      <c r="E1122" s="10">
        <f t="shared" ca="1" si="70"/>
        <v>9.0168747081716197E-2</v>
      </c>
      <c r="G1122" s="8">
        <v>44582</v>
      </c>
      <c r="H1122" s="10">
        <f t="shared" ca="1" si="73"/>
        <v>9.8973991468035968E-2</v>
      </c>
    </row>
    <row r="1123" spans="2:8" hidden="1" x14ac:dyDescent="0.2">
      <c r="B1123" s="8">
        <v>44583</v>
      </c>
      <c r="C1123" s="9">
        <f t="shared" ca="1" si="68"/>
        <v>16082.520640483421</v>
      </c>
      <c r="D1123" s="9">
        <f t="shared" ca="1" si="72"/>
        <v>10588.5835638098</v>
      </c>
      <c r="E1123" s="10">
        <f t="shared" ca="1" si="70"/>
        <v>0.11860909856589813</v>
      </c>
      <c r="G1123" s="8">
        <v>44583</v>
      </c>
      <c r="H1123" s="10">
        <f t="shared" ca="1" si="73"/>
        <v>0.29272318790379587</v>
      </c>
    </row>
    <row r="1124" spans="2:8" hidden="1" x14ac:dyDescent="0.2">
      <c r="B1124" s="8">
        <v>44584</v>
      </c>
      <c r="C1124" s="9">
        <f t="shared" ca="1" si="68"/>
        <v>16684.204896398332</v>
      </c>
      <c r="D1124" s="9">
        <f t="shared" ca="1" si="72"/>
        <v>21710.029443881805</v>
      </c>
      <c r="E1124" s="10">
        <f t="shared" ca="1" si="70"/>
        <v>1.876317221580337E-2</v>
      </c>
      <c r="G1124" s="8">
        <v>44584</v>
      </c>
      <c r="H1124" s="10">
        <f t="shared" ca="1" si="73"/>
        <v>0.29920452054658764</v>
      </c>
    </row>
    <row r="1125" spans="2:8" hidden="1" x14ac:dyDescent="0.2">
      <c r="B1125" s="8">
        <v>44585</v>
      </c>
      <c r="C1125" s="9">
        <f t="shared" ca="1" si="68"/>
        <v>17712.955579001937</v>
      </c>
      <c r="D1125" s="9">
        <f t="shared" ca="1" si="72"/>
        <v>16739.626906665551</v>
      </c>
      <c r="E1125" s="10">
        <f t="shared" ca="1" si="70"/>
        <v>0.25813988423912698</v>
      </c>
      <c r="G1125" s="8">
        <v>44585</v>
      </c>
      <c r="H1125" s="10">
        <f t="shared" ca="1" si="73"/>
        <v>0.15626815501086588</v>
      </c>
    </row>
    <row r="1126" spans="2:8" hidden="1" x14ac:dyDescent="0.2">
      <c r="B1126" s="8">
        <v>44586</v>
      </c>
      <c r="C1126" s="9">
        <f t="shared" ca="1" si="68"/>
        <v>16715.245407457798</v>
      </c>
      <c r="D1126" s="9">
        <f t="shared" ca="1" si="72"/>
        <v>36660.319813421302</v>
      </c>
      <c r="E1126" s="10">
        <f t="shared" ca="1" si="70"/>
        <v>4.6986101747341448E-2</v>
      </c>
      <c r="G1126" s="8">
        <v>44586</v>
      </c>
      <c r="H1126" s="10">
        <f t="shared" ca="1" si="73"/>
        <v>0.38442902678623925</v>
      </c>
    </row>
    <row r="1127" spans="2:8" hidden="1" x14ac:dyDescent="0.2">
      <c r="B1127" s="8">
        <v>44587</v>
      </c>
      <c r="C1127" s="9">
        <f t="shared" ca="1" si="68"/>
        <v>16228.209591776982</v>
      </c>
      <c r="D1127" s="9">
        <f t="shared" ca="1" si="72"/>
        <v>22692.010297777197</v>
      </c>
      <c r="E1127" s="10">
        <f t="shared" ca="1" si="70"/>
        <v>0.19535072040060217</v>
      </c>
      <c r="G1127" s="8">
        <v>44587</v>
      </c>
      <c r="H1127" s="10">
        <f t="shared" ca="1" si="73"/>
        <v>0.15725072698264536</v>
      </c>
    </row>
    <row r="1128" spans="2:8" hidden="1" x14ac:dyDescent="0.2">
      <c r="B1128" s="8">
        <v>44588</v>
      </c>
      <c r="C1128" s="9">
        <f t="shared" ca="1" si="68"/>
        <v>17285.054959230147</v>
      </c>
      <c r="D1128" s="9">
        <f t="shared" ca="1" si="72"/>
        <v>17878.944558513645</v>
      </c>
      <c r="E1128" s="10">
        <f t="shared" ca="1" si="70"/>
        <v>0.26746691228988628</v>
      </c>
      <c r="G1128" s="8">
        <v>44588</v>
      </c>
      <c r="H1128" s="10">
        <f t="shared" ca="1" si="73"/>
        <v>0.28940725277600693</v>
      </c>
    </row>
    <row r="1129" spans="2:8" hidden="1" x14ac:dyDescent="0.2">
      <c r="B1129" s="8">
        <v>44589</v>
      </c>
      <c r="C1129" s="9">
        <f t="shared" ca="1" si="68"/>
        <v>14158.099217046165</v>
      </c>
      <c r="D1129" s="9">
        <f t="shared" ca="1" si="72"/>
        <v>23849.248713313173</v>
      </c>
      <c r="E1129" s="10">
        <f t="shared" ca="1" si="70"/>
        <v>6.5221655029868431E-2</v>
      </c>
      <c r="G1129" s="8">
        <v>44589</v>
      </c>
      <c r="H1129" s="10">
        <f t="shared" ca="1" si="73"/>
        <v>0.10143127461865181</v>
      </c>
    </row>
    <row r="1130" spans="2:8" hidden="1" x14ac:dyDescent="0.2">
      <c r="B1130" s="8">
        <v>44590</v>
      </c>
      <c r="C1130" s="9">
        <f t="shared" ca="1" si="68"/>
        <v>16740.097461731952</v>
      </c>
      <c r="D1130" s="9">
        <f t="shared" ca="1" si="72"/>
        <v>20859.621145131379</v>
      </c>
      <c r="E1130" s="10">
        <f t="shared" ca="1" si="70"/>
        <v>0.1457029124113208</v>
      </c>
      <c r="G1130" s="8">
        <v>44590</v>
      </c>
      <c r="H1130" s="10">
        <f t="shared" ca="1" si="73"/>
        <v>0.28086004428222988</v>
      </c>
    </row>
    <row r="1131" spans="2:8" hidden="1" x14ac:dyDescent="0.2">
      <c r="B1131" s="8">
        <v>44591</v>
      </c>
      <c r="C1131" s="9">
        <f t="shared" ca="1" si="68"/>
        <v>13086.169967106924</v>
      </c>
      <c r="D1131" s="9">
        <f t="shared" ca="1" si="72"/>
        <v>14205.596211970322</v>
      </c>
      <c r="E1131" s="10">
        <f t="shared" ca="1" si="70"/>
        <v>0.12788263071966757</v>
      </c>
      <c r="G1131" s="8">
        <v>44591</v>
      </c>
      <c r="H1131" s="10">
        <f t="shared" ca="1" si="73"/>
        <v>0.14832067278099093</v>
      </c>
    </row>
    <row r="1132" spans="2:8" hidden="1" x14ac:dyDescent="0.2">
      <c r="B1132" s="8">
        <v>44592</v>
      </c>
      <c r="C1132" s="9">
        <f t="shared" ca="1" si="68"/>
        <v>16099.703550335387</v>
      </c>
      <c r="D1132" s="9">
        <f t="shared" ca="1" si="72"/>
        <v>28724.85083758743</v>
      </c>
      <c r="E1132" s="10">
        <f t="shared" ca="1" si="70"/>
        <v>0.21845147698998277</v>
      </c>
      <c r="G1132" s="8">
        <v>44592</v>
      </c>
      <c r="H1132" s="10">
        <f t="shared" ca="1" si="73"/>
        <v>0.18947393636031745</v>
      </c>
    </row>
    <row r="1133" spans="2:8" hidden="1" x14ac:dyDescent="0.2">
      <c r="B1133" s="8">
        <v>44593</v>
      </c>
      <c r="C1133" s="9">
        <f t="shared" ca="1" si="68"/>
        <v>13946.26256236474</v>
      </c>
      <c r="D1133" s="9">
        <f t="shared" ca="1" si="72"/>
        <v>16241.328282482989</v>
      </c>
      <c r="E1133" s="10">
        <f t="shared" ca="1" si="70"/>
        <v>0.18969571680270647</v>
      </c>
      <c r="G1133" s="8">
        <v>44593</v>
      </c>
      <c r="H1133" s="10">
        <f t="shared" ca="1" si="73"/>
        <v>0.15887040198805544</v>
      </c>
    </row>
    <row r="1134" spans="2:8" hidden="1" x14ac:dyDescent="0.2">
      <c r="B1134" s="8">
        <v>44594</v>
      </c>
      <c r="C1134" s="9">
        <f t="shared" ca="1" si="68"/>
        <v>13768.123823707909</v>
      </c>
      <c r="D1134" s="9">
        <f t="shared" ca="1" si="72"/>
        <v>18511.422264424917</v>
      </c>
      <c r="E1134" s="10">
        <f t="shared" ca="1" si="70"/>
        <v>0.23845041823652954</v>
      </c>
      <c r="G1134" s="8">
        <v>44594</v>
      </c>
      <c r="H1134" s="10">
        <f t="shared" ca="1" si="73"/>
        <v>8.7834440324481455E-2</v>
      </c>
    </row>
    <row r="1135" spans="2:8" hidden="1" x14ac:dyDescent="0.2">
      <c r="B1135" s="8">
        <v>44595</v>
      </c>
      <c r="C1135" s="9">
        <f t="shared" ca="1" si="68"/>
        <v>12897.090987759691</v>
      </c>
      <c r="D1135" s="9">
        <f t="shared" ca="1" si="72"/>
        <v>31234.751685104879</v>
      </c>
      <c r="E1135" s="10">
        <f t="shared" ca="1" si="70"/>
        <v>3.1044478405268806E-4</v>
      </c>
      <c r="G1135" s="8">
        <v>44595</v>
      </c>
      <c r="H1135" s="10">
        <f t="shared" ca="1" si="73"/>
        <v>0.3278318596021923</v>
      </c>
    </row>
    <row r="1136" spans="2:8" hidden="1" x14ac:dyDescent="0.2">
      <c r="B1136" s="8">
        <v>44596</v>
      </c>
      <c r="C1136" s="9">
        <f t="shared" ca="1" si="68"/>
        <v>17451.107440711668</v>
      </c>
      <c r="D1136" s="9">
        <f t="shared" ca="1" si="72"/>
        <v>30549.031168726935</v>
      </c>
      <c r="E1136" s="10">
        <f t="shared" ca="1" si="70"/>
        <v>0.19600499320041903</v>
      </c>
      <c r="G1136" s="8">
        <v>44596</v>
      </c>
      <c r="H1136" s="10">
        <f t="shared" ca="1" si="73"/>
        <v>0.18328894280045116</v>
      </c>
    </row>
    <row r="1137" spans="2:8" hidden="1" x14ac:dyDescent="0.2">
      <c r="B1137" s="8">
        <v>44597</v>
      </c>
      <c r="C1137" s="9">
        <f t="shared" ca="1" si="68"/>
        <v>10718.223160081698</v>
      </c>
      <c r="D1137" s="9">
        <f t="shared" ca="1" si="72"/>
        <v>37110.301540805565</v>
      </c>
      <c r="E1137" s="10">
        <f t="shared" ca="1" si="70"/>
        <v>0.27578128132932545</v>
      </c>
      <c r="G1137" s="8">
        <v>44597</v>
      </c>
      <c r="H1137" s="10">
        <f t="shared" ca="1" si="73"/>
        <v>0.13639711079971684</v>
      </c>
    </row>
    <row r="1138" spans="2:8" hidden="1" x14ac:dyDescent="0.2">
      <c r="B1138" s="8">
        <v>44598</v>
      </c>
      <c r="C1138" s="9">
        <f t="shared" ca="1" si="68"/>
        <v>17066.877616684971</v>
      </c>
      <c r="D1138" s="9">
        <f t="shared" ca="1" si="72"/>
        <v>36347.659615566983</v>
      </c>
      <c r="E1138" s="10">
        <f t="shared" ca="1" si="70"/>
        <v>4.9171560825474782E-2</v>
      </c>
      <c r="G1138" s="8">
        <v>44598</v>
      </c>
      <c r="H1138" s="10">
        <f t="shared" ca="1" si="73"/>
        <v>0.25230388582562391</v>
      </c>
    </row>
    <row r="1139" spans="2:8" hidden="1" x14ac:dyDescent="0.2">
      <c r="B1139" s="8">
        <v>44599</v>
      </c>
      <c r="C1139" s="9">
        <f t="shared" ca="1" si="68"/>
        <v>10173.478664597538</v>
      </c>
      <c r="D1139" s="9">
        <f t="shared" ca="1" si="72"/>
        <v>39532.733553010548</v>
      </c>
      <c r="E1139" s="10">
        <f t="shared" ca="1" si="70"/>
        <v>0.12118030792268386</v>
      </c>
      <c r="G1139" s="8">
        <v>44599</v>
      </c>
      <c r="H1139" s="10">
        <f t="shared" ca="1" si="73"/>
        <v>0.36945684324457151</v>
      </c>
    </row>
    <row r="1140" spans="2:8" hidden="1" x14ac:dyDescent="0.2">
      <c r="B1140" s="8">
        <v>44600</v>
      </c>
      <c r="C1140" s="9">
        <f t="shared" ca="1" si="68"/>
        <v>12578.097803409066</v>
      </c>
      <c r="D1140" s="9">
        <f t="shared" ca="1" si="72"/>
        <v>38956.08273662471</v>
      </c>
      <c r="E1140" s="10">
        <f t="shared" ca="1" si="70"/>
        <v>4.5220395231436894E-2</v>
      </c>
      <c r="G1140" s="8">
        <v>44600</v>
      </c>
      <c r="H1140" s="10">
        <f t="shared" ca="1" si="73"/>
        <v>0.14406950524626888</v>
      </c>
    </row>
    <row r="1141" spans="2:8" hidden="1" x14ac:dyDescent="0.2">
      <c r="B1141" s="8">
        <v>44601</v>
      </c>
      <c r="C1141" s="9">
        <f t="shared" ca="1" si="68"/>
        <v>12031.313088533931</v>
      </c>
      <c r="D1141" s="9">
        <f t="shared" ca="1" si="72"/>
        <v>20759.507481145101</v>
      </c>
      <c r="E1141" s="10">
        <f t="shared" ca="1" si="70"/>
        <v>0.208967182071847</v>
      </c>
      <c r="G1141" s="8">
        <v>44601</v>
      </c>
      <c r="H1141" s="10">
        <f t="shared" ca="1" si="73"/>
        <v>0.16381623104157106</v>
      </c>
    </row>
    <row r="1142" spans="2:8" hidden="1" x14ac:dyDescent="0.2">
      <c r="B1142" s="8">
        <v>44602</v>
      </c>
      <c r="C1142" s="9">
        <f t="shared" ca="1" si="68"/>
        <v>10522.989953919825</v>
      </c>
      <c r="D1142" s="9">
        <f t="shared" ca="1" si="72"/>
        <v>35400.841348727401</v>
      </c>
      <c r="E1142" s="10">
        <f t="shared" ca="1" si="70"/>
        <v>2.371950265748338E-2</v>
      </c>
      <c r="G1142" s="8">
        <v>44602</v>
      </c>
      <c r="H1142" s="10">
        <f t="shared" ca="1" si="73"/>
        <v>0.28372962381055422</v>
      </c>
    </row>
    <row r="1143" spans="2:8" hidden="1" x14ac:dyDescent="0.2">
      <c r="B1143" s="8">
        <v>44603</v>
      </c>
      <c r="C1143" s="9">
        <f t="shared" ca="1" si="68"/>
        <v>17091.118805474624</v>
      </c>
      <c r="D1143" s="9">
        <f t="shared" ca="1" si="72"/>
        <v>27361.050358415952</v>
      </c>
      <c r="E1143" s="10">
        <f t="shared" ca="1" si="70"/>
        <v>0.19558419432622018</v>
      </c>
      <c r="G1143" s="8">
        <v>44603</v>
      </c>
      <c r="H1143" s="10">
        <f t="shared" ca="1" si="73"/>
        <v>0.19920289214832965</v>
      </c>
    </row>
    <row r="1144" spans="2:8" hidden="1" x14ac:dyDescent="0.2">
      <c r="B1144" s="8">
        <v>44604</v>
      </c>
      <c r="C1144" s="9">
        <f t="shared" ca="1" si="68"/>
        <v>15299.022234309512</v>
      </c>
      <c r="D1144" s="9">
        <f t="shared" ca="1" si="72"/>
        <v>16432.382740153513</v>
      </c>
      <c r="E1144" s="10">
        <f t="shared" ca="1" si="70"/>
        <v>4.4726311938990383E-2</v>
      </c>
      <c r="G1144" s="8">
        <v>44604</v>
      </c>
      <c r="H1144" s="10">
        <f t="shared" ca="1" si="73"/>
        <v>0.29004714506307716</v>
      </c>
    </row>
    <row r="1145" spans="2:8" hidden="1" x14ac:dyDescent="0.2">
      <c r="B1145" s="8">
        <v>44605</v>
      </c>
      <c r="C1145" s="9">
        <f t="shared" ca="1" si="68"/>
        <v>17187.425228030083</v>
      </c>
      <c r="D1145" s="9">
        <f t="shared" ca="1" si="72"/>
        <v>18542.370922153546</v>
      </c>
      <c r="E1145" s="10">
        <f t="shared" ca="1" si="70"/>
        <v>9.3702090378781772E-2</v>
      </c>
      <c r="G1145" s="8">
        <v>44605</v>
      </c>
      <c r="H1145" s="10">
        <f t="shared" ca="1" si="73"/>
        <v>0.36001605305835449</v>
      </c>
    </row>
    <row r="1146" spans="2:8" hidden="1" x14ac:dyDescent="0.2">
      <c r="B1146" s="8">
        <v>44606</v>
      </c>
      <c r="C1146" s="9">
        <f t="shared" ca="1" si="68"/>
        <v>13303.704949422912</v>
      </c>
      <c r="D1146" s="9">
        <f t="shared" ca="1" si="72"/>
        <v>22642.071345993983</v>
      </c>
      <c r="E1146" s="10">
        <f t="shared" ca="1" si="70"/>
        <v>0.13152648669939182</v>
      </c>
      <c r="G1146" s="8">
        <v>44606</v>
      </c>
      <c r="H1146" s="10">
        <f t="shared" ca="1" si="73"/>
        <v>0.39365592040384068</v>
      </c>
    </row>
    <row r="1147" spans="2:8" hidden="1" x14ac:dyDescent="0.2">
      <c r="B1147" s="8">
        <v>44607</v>
      </c>
      <c r="C1147" s="9">
        <f t="shared" ca="1" si="68"/>
        <v>17713.981125878825</v>
      </c>
      <c r="D1147" s="9">
        <f t="shared" ca="1" si="72"/>
        <v>27948.632076888811</v>
      </c>
      <c r="E1147" s="10">
        <f t="shared" ca="1" si="70"/>
        <v>0.21639809018259062</v>
      </c>
      <c r="G1147" s="8">
        <v>44607</v>
      </c>
      <c r="H1147" s="10">
        <f t="shared" ca="1" si="73"/>
        <v>0.31297883045253472</v>
      </c>
    </row>
    <row r="1148" spans="2:8" hidden="1" x14ac:dyDescent="0.2">
      <c r="B1148" s="8">
        <v>44608</v>
      </c>
      <c r="C1148" s="9">
        <f t="shared" ca="1" si="68"/>
        <v>17075.614088558781</v>
      </c>
      <c r="D1148" s="9">
        <f t="shared" ca="1" si="72"/>
        <v>27185.523068385792</v>
      </c>
      <c r="E1148" s="10">
        <f t="shared" ca="1" si="70"/>
        <v>0.19303956709081707</v>
      </c>
      <c r="G1148" s="8">
        <v>44608</v>
      </c>
      <c r="H1148" s="10">
        <f t="shared" ca="1" si="73"/>
        <v>0.15379226873070692</v>
      </c>
    </row>
    <row r="1149" spans="2:8" hidden="1" x14ac:dyDescent="0.2">
      <c r="B1149" s="8">
        <v>44609</v>
      </c>
      <c r="C1149" s="9">
        <f t="shared" ca="1" si="68"/>
        <v>17270.711318194386</v>
      </c>
      <c r="D1149" s="9">
        <f t="shared" ca="1" si="72"/>
        <v>30072.436782370474</v>
      </c>
      <c r="E1149" s="10">
        <f t="shared" ca="1" si="70"/>
        <v>8.8586095789283739E-2</v>
      </c>
      <c r="G1149" s="8">
        <v>44609</v>
      </c>
      <c r="H1149" s="10">
        <f t="shared" ca="1" si="73"/>
        <v>0.23684014761980815</v>
      </c>
    </row>
    <row r="1150" spans="2:8" hidden="1" x14ac:dyDescent="0.2">
      <c r="B1150" s="8">
        <v>44610</v>
      </c>
      <c r="C1150" s="9">
        <f t="shared" ca="1" si="68"/>
        <v>16805.189244867997</v>
      </c>
      <c r="D1150" s="9">
        <f t="shared" ca="1" si="72"/>
        <v>31220.132607647967</v>
      </c>
      <c r="E1150" s="10">
        <f t="shared" ca="1" si="70"/>
        <v>0.23068782302640636</v>
      </c>
      <c r="G1150" s="8">
        <v>44610</v>
      </c>
      <c r="H1150" s="10">
        <f t="shared" ca="1" si="73"/>
        <v>0.34099939258874801</v>
      </c>
    </row>
    <row r="1151" spans="2:8" hidden="1" x14ac:dyDescent="0.2">
      <c r="B1151" s="8">
        <v>44611</v>
      </c>
      <c r="C1151" s="9">
        <f t="shared" ca="1" si="68"/>
        <v>12370.05063908804</v>
      </c>
      <c r="D1151" s="9">
        <f t="shared" ca="1" si="72"/>
        <v>36351.149272862975</v>
      </c>
      <c r="E1151" s="10">
        <f t="shared" ca="1" si="70"/>
        <v>4.8116315346705352E-2</v>
      </c>
      <c r="G1151" s="8">
        <v>44611</v>
      </c>
      <c r="H1151" s="10">
        <f t="shared" ca="1" si="73"/>
        <v>0.13051906366797711</v>
      </c>
    </row>
    <row r="1152" spans="2:8" hidden="1" x14ac:dyDescent="0.2">
      <c r="B1152" s="8">
        <v>44612</v>
      </c>
      <c r="C1152" s="9">
        <f t="shared" ca="1" si="68"/>
        <v>14847.35571294096</v>
      </c>
      <c r="D1152" s="9">
        <f t="shared" ca="1" si="72"/>
        <v>12714.149273837804</v>
      </c>
      <c r="E1152" s="10">
        <f t="shared" ca="1" si="70"/>
        <v>0.26222933052224923</v>
      </c>
      <c r="G1152" s="8">
        <v>44612</v>
      </c>
      <c r="H1152" s="10">
        <f t="shared" ca="1" si="73"/>
        <v>0.16287400298328364</v>
      </c>
    </row>
    <row r="1153" spans="2:8" hidden="1" x14ac:dyDescent="0.2">
      <c r="B1153" s="8">
        <v>44613</v>
      </c>
      <c r="C1153" s="9">
        <f t="shared" ca="1" si="68"/>
        <v>11047.432645732764</v>
      </c>
      <c r="D1153" s="9">
        <f t="shared" ca="1" si="72"/>
        <v>29725.194739260787</v>
      </c>
      <c r="E1153" s="10">
        <f t="shared" ca="1" si="70"/>
        <v>7.5685898201155274E-2</v>
      </c>
      <c r="G1153" s="8">
        <v>44613</v>
      </c>
      <c r="H1153" s="10">
        <f t="shared" ca="1" si="73"/>
        <v>0.15753956463162422</v>
      </c>
    </row>
    <row r="1154" spans="2:8" hidden="1" x14ac:dyDescent="0.2">
      <c r="B1154" s="8">
        <v>44614</v>
      </c>
      <c r="C1154" s="9">
        <f t="shared" ca="1" si="68"/>
        <v>13450.020859636192</v>
      </c>
      <c r="D1154" s="9">
        <f t="shared" ca="1" si="72"/>
        <v>19120.862085305867</v>
      </c>
      <c r="E1154" s="10">
        <f t="shared" ca="1" si="70"/>
        <v>0.1985334108774687</v>
      </c>
      <c r="G1154" s="8">
        <v>44614</v>
      </c>
      <c r="H1154" s="10">
        <f t="shared" ca="1" si="73"/>
        <v>0.39489374014462569</v>
      </c>
    </row>
    <row r="1155" spans="2:8" hidden="1" x14ac:dyDescent="0.2">
      <c r="B1155" s="8">
        <v>44615</v>
      </c>
      <c r="C1155" s="9">
        <f t="shared" ca="1" si="68"/>
        <v>16680.234726573937</v>
      </c>
      <c r="D1155" s="9">
        <f t="shared" ca="1" si="72"/>
        <v>26846.436048948337</v>
      </c>
      <c r="E1155" s="10">
        <f t="shared" ca="1" si="70"/>
        <v>8.1989436028250123E-2</v>
      </c>
      <c r="G1155" s="8">
        <v>44615</v>
      </c>
      <c r="H1155" s="10">
        <f t="shared" ca="1" si="73"/>
        <v>0.32136514931474092</v>
      </c>
    </row>
    <row r="1156" spans="2:8" hidden="1" x14ac:dyDescent="0.2">
      <c r="B1156" s="8">
        <v>44616</v>
      </c>
      <c r="C1156" s="9">
        <f t="shared" ca="1" si="68"/>
        <v>12000.655741462899</v>
      </c>
      <c r="D1156" s="9">
        <f t="shared" ca="1" si="72"/>
        <v>22783.606272616526</v>
      </c>
      <c r="E1156" s="10">
        <f t="shared" ca="1" si="70"/>
        <v>0.21751786106270279</v>
      </c>
      <c r="G1156" s="8">
        <v>44616</v>
      </c>
      <c r="H1156" s="10">
        <f t="shared" ca="1" si="73"/>
        <v>0.10306423250250582</v>
      </c>
    </row>
    <row r="1157" spans="2:8" hidden="1" x14ac:dyDescent="0.2">
      <c r="B1157" s="8">
        <v>44617</v>
      </c>
      <c r="C1157" s="9">
        <f t="shared" ca="1" si="68"/>
        <v>14422.622628421235</v>
      </c>
      <c r="D1157" s="9">
        <f t="shared" ca="1" si="72"/>
        <v>29121.866124044755</v>
      </c>
      <c r="E1157" s="10">
        <f t="shared" ca="1" si="70"/>
        <v>0.24265168328141556</v>
      </c>
      <c r="G1157" s="8">
        <v>44617</v>
      </c>
      <c r="H1157" s="10">
        <f t="shared" ca="1" si="73"/>
        <v>0.2547812762871482</v>
      </c>
    </row>
    <row r="1158" spans="2:8" hidden="1" x14ac:dyDescent="0.2">
      <c r="B1158" s="8">
        <v>44618</v>
      </c>
      <c r="C1158" s="9">
        <f t="shared" ca="1" si="68"/>
        <v>12730.777304630783</v>
      </c>
      <c r="D1158" s="9">
        <f t="shared" ca="1" si="72"/>
        <v>15817.09342312417</v>
      </c>
      <c r="E1158" s="10">
        <f t="shared" ca="1" si="70"/>
        <v>1.7389095920949893E-2</v>
      </c>
      <c r="G1158" s="8">
        <v>44618</v>
      </c>
      <c r="H1158" s="10">
        <f t="shared" ca="1" si="73"/>
        <v>0.1739730116690614</v>
      </c>
    </row>
    <row r="1159" spans="2:8" hidden="1" x14ac:dyDescent="0.2">
      <c r="B1159" s="8">
        <v>44619</v>
      </c>
      <c r="C1159" s="9">
        <f t="shared" ref="C1159:C1222" ca="1" si="74">RAND()*(18000-10000)+10000</f>
        <v>10841.490909741784</v>
      </c>
      <c r="D1159" s="9">
        <f t="shared" ca="1" si="72"/>
        <v>24823.248299173141</v>
      </c>
      <c r="E1159" s="10">
        <f t="shared" ref="E1159:E1222" ca="1" si="75">RAND()*(30%-0%)+0%</f>
        <v>0.14201090169330929</v>
      </c>
      <c r="G1159" s="8">
        <v>44619</v>
      </c>
      <c r="H1159" s="10">
        <f t="shared" ca="1" si="73"/>
        <v>9.9954338581956112E-2</v>
      </c>
    </row>
    <row r="1160" spans="2:8" hidden="1" x14ac:dyDescent="0.2">
      <c r="B1160" s="8">
        <v>44620</v>
      </c>
      <c r="C1160" s="9">
        <f t="shared" ca="1" si="74"/>
        <v>14652.485400463964</v>
      </c>
      <c r="D1160" s="9">
        <f t="shared" ca="1" si="72"/>
        <v>20159.575482849035</v>
      </c>
      <c r="E1160" s="10">
        <f t="shared" ca="1" si="75"/>
        <v>2.9382470849045328E-2</v>
      </c>
      <c r="G1160" s="8">
        <v>44620</v>
      </c>
      <c r="H1160" s="10">
        <f t="shared" ca="1" si="73"/>
        <v>0.31128768156428777</v>
      </c>
    </row>
    <row r="1161" spans="2:8" hidden="1" x14ac:dyDescent="0.2">
      <c r="B1161" s="8">
        <v>44621</v>
      </c>
      <c r="C1161" s="9">
        <f t="shared" ca="1" si="74"/>
        <v>17346.921752139104</v>
      </c>
      <c r="D1161" s="9">
        <f t="shared" ca="1" si="72"/>
        <v>11025.30768102742</v>
      </c>
      <c r="E1161" s="10">
        <f t="shared" ca="1" si="75"/>
        <v>0.28496506958394574</v>
      </c>
      <c r="G1161" s="8">
        <v>44621</v>
      </c>
      <c r="H1161" s="10">
        <f t="shared" ca="1" si="73"/>
        <v>0.33786668708815359</v>
      </c>
    </row>
    <row r="1162" spans="2:8" hidden="1" x14ac:dyDescent="0.2">
      <c r="B1162" s="8">
        <v>44622</v>
      </c>
      <c r="C1162" s="9">
        <f t="shared" ca="1" si="74"/>
        <v>12245.113578883271</v>
      </c>
      <c r="D1162" s="9">
        <f t="shared" ca="1" si="72"/>
        <v>11571.277645005986</v>
      </c>
      <c r="E1162" s="10">
        <f t="shared" ca="1" si="75"/>
        <v>0.22460679729934629</v>
      </c>
      <c r="G1162" s="8">
        <v>44622</v>
      </c>
      <c r="H1162" s="10">
        <f t="shared" ca="1" si="73"/>
        <v>0.17455006804917905</v>
      </c>
    </row>
    <row r="1163" spans="2:8" hidden="1" x14ac:dyDescent="0.2">
      <c r="B1163" s="8">
        <v>44623</v>
      </c>
      <c r="C1163" s="9">
        <f t="shared" ca="1" si="74"/>
        <v>13731.228836552982</v>
      </c>
      <c r="D1163" s="9">
        <f t="shared" ca="1" si="72"/>
        <v>33282.223711022743</v>
      </c>
      <c r="E1163" s="10">
        <f t="shared" ca="1" si="75"/>
        <v>0.11327709277525227</v>
      </c>
      <c r="G1163" s="8">
        <v>44623</v>
      </c>
      <c r="H1163" s="10">
        <f t="shared" ca="1" si="73"/>
        <v>0.26141647567615645</v>
      </c>
    </row>
    <row r="1164" spans="2:8" hidden="1" x14ac:dyDescent="0.2">
      <c r="B1164" s="8">
        <v>44624</v>
      </c>
      <c r="C1164" s="9">
        <f t="shared" ca="1" si="74"/>
        <v>11862.251125394534</v>
      </c>
      <c r="D1164" s="9">
        <f t="shared" ca="1" si="72"/>
        <v>36434.582114310877</v>
      </c>
      <c r="E1164" s="10">
        <f t="shared" ca="1" si="75"/>
        <v>0.12239709279798694</v>
      </c>
      <c r="G1164" s="8">
        <v>44624</v>
      </c>
      <c r="H1164" s="10">
        <f t="shared" ca="1" si="73"/>
        <v>0.20494800186430748</v>
      </c>
    </row>
    <row r="1165" spans="2:8" hidden="1" x14ac:dyDescent="0.2">
      <c r="B1165" s="8">
        <v>44625</v>
      </c>
      <c r="C1165" s="9">
        <f t="shared" ca="1" si="74"/>
        <v>12040.785929588981</v>
      </c>
      <c r="D1165" s="9">
        <f t="shared" ca="1" si="72"/>
        <v>16860.714046221994</v>
      </c>
      <c r="E1165" s="10">
        <f t="shared" ca="1" si="75"/>
        <v>0.28033258850282228</v>
      </c>
      <c r="G1165" s="8">
        <v>44625</v>
      </c>
      <c r="H1165" s="10">
        <f t="shared" ca="1" si="73"/>
        <v>0.26765109828267281</v>
      </c>
    </row>
    <row r="1166" spans="2:8" hidden="1" x14ac:dyDescent="0.2">
      <c r="B1166" s="8">
        <v>44626</v>
      </c>
      <c r="C1166" s="9">
        <f t="shared" ca="1" si="74"/>
        <v>11035.312081723685</v>
      </c>
      <c r="D1166" s="9">
        <f t="shared" ca="1" si="72"/>
        <v>35608.242543541943</v>
      </c>
      <c r="E1166" s="10">
        <f t="shared" ca="1" si="75"/>
        <v>3.2622517875298497E-2</v>
      </c>
      <c r="G1166" s="8">
        <v>44626</v>
      </c>
      <c r="H1166" s="10">
        <f t="shared" ca="1" si="73"/>
        <v>0.12181887505460345</v>
      </c>
    </row>
    <row r="1167" spans="2:8" hidden="1" x14ac:dyDescent="0.2">
      <c r="B1167" s="8">
        <v>44627</v>
      </c>
      <c r="C1167" s="9">
        <f t="shared" ca="1" si="74"/>
        <v>13349.724271161424</v>
      </c>
      <c r="D1167" s="9">
        <f t="shared" ref="D1167:D1230" ca="1" si="76">RAND()*(40000-10000)+10000</f>
        <v>11191.758065709237</v>
      </c>
      <c r="E1167" s="10">
        <f t="shared" ca="1" si="75"/>
        <v>1.0500631581851593E-2</v>
      </c>
      <c r="G1167" s="8">
        <v>44627</v>
      </c>
      <c r="H1167" s="10">
        <f t="shared" ref="H1167:H1230" ca="1" si="77">RAND()*(40%-8%)+8%</f>
        <v>0.11624626250351298</v>
      </c>
    </row>
    <row r="1168" spans="2:8" hidden="1" x14ac:dyDescent="0.2">
      <c r="B1168" s="8">
        <v>44628</v>
      </c>
      <c r="C1168" s="9">
        <f t="shared" ca="1" si="74"/>
        <v>16593.668836746569</v>
      </c>
      <c r="D1168" s="9">
        <f t="shared" ca="1" si="76"/>
        <v>14572.089177272006</v>
      </c>
      <c r="E1168" s="10">
        <f t="shared" ca="1" si="75"/>
        <v>0.2969252228344017</v>
      </c>
      <c r="G1168" s="8">
        <v>44628</v>
      </c>
      <c r="H1168" s="10">
        <f t="shared" ca="1" si="77"/>
        <v>0.10771319265890238</v>
      </c>
    </row>
    <row r="1169" spans="2:8" hidden="1" x14ac:dyDescent="0.2">
      <c r="B1169" s="8">
        <v>44629</v>
      </c>
      <c r="C1169" s="9">
        <f t="shared" ca="1" si="74"/>
        <v>15373.701925654079</v>
      </c>
      <c r="D1169" s="9">
        <f t="shared" ca="1" si="76"/>
        <v>27436.443684798105</v>
      </c>
      <c r="E1169" s="10">
        <f t="shared" ca="1" si="75"/>
        <v>0.10331273373151437</v>
      </c>
      <c r="G1169" s="8">
        <v>44629</v>
      </c>
      <c r="H1169" s="10">
        <f t="shared" ca="1" si="77"/>
        <v>0.39593550492018864</v>
      </c>
    </row>
    <row r="1170" spans="2:8" hidden="1" x14ac:dyDescent="0.2">
      <c r="B1170" s="8">
        <v>44630</v>
      </c>
      <c r="C1170" s="9">
        <f t="shared" ca="1" si="74"/>
        <v>14785.500209386562</v>
      </c>
      <c r="D1170" s="9">
        <f t="shared" ca="1" si="76"/>
        <v>14286.15199191582</v>
      </c>
      <c r="E1170" s="10">
        <f t="shared" ca="1" si="75"/>
        <v>0.20945339704142332</v>
      </c>
      <c r="G1170" s="8">
        <v>44630</v>
      </c>
      <c r="H1170" s="10">
        <f t="shared" ca="1" si="77"/>
        <v>0.10240151265406212</v>
      </c>
    </row>
    <row r="1171" spans="2:8" hidden="1" x14ac:dyDescent="0.2">
      <c r="B1171" s="8">
        <v>44631</v>
      </c>
      <c r="C1171" s="9">
        <f t="shared" ca="1" si="74"/>
        <v>13033.142508255687</v>
      </c>
      <c r="D1171" s="9">
        <f t="shared" ca="1" si="76"/>
        <v>20918.42502136065</v>
      </c>
      <c r="E1171" s="10">
        <f t="shared" ca="1" si="75"/>
        <v>0.14082407351182144</v>
      </c>
      <c r="G1171" s="8">
        <v>44631</v>
      </c>
      <c r="H1171" s="10">
        <f t="shared" ca="1" si="77"/>
        <v>9.7305901340427214E-2</v>
      </c>
    </row>
    <row r="1172" spans="2:8" hidden="1" x14ac:dyDescent="0.2">
      <c r="B1172" s="8">
        <v>44632</v>
      </c>
      <c r="C1172" s="9">
        <f t="shared" ca="1" si="74"/>
        <v>17251.383935622904</v>
      </c>
      <c r="D1172" s="9">
        <f t="shared" ca="1" si="76"/>
        <v>15223.523685738235</v>
      </c>
      <c r="E1172" s="10">
        <f t="shared" ca="1" si="75"/>
        <v>0.13644271553082316</v>
      </c>
      <c r="G1172" s="8">
        <v>44632</v>
      </c>
      <c r="H1172" s="10">
        <f t="shared" ca="1" si="77"/>
        <v>8.2405317075740683E-2</v>
      </c>
    </row>
    <row r="1173" spans="2:8" hidden="1" x14ac:dyDescent="0.2">
      <c r="B1173" s="8">
        <v>44633</v>
      </c>
      <c r="C1173" s="9">
        <f t="shared" ca="1" si="74"/>
        <v>14889.100863580104</v>
      </c>
      <c r="D1173" s="9">
        <f t="shared" ca="1" si="76"/>
        <v>21825.464898950406</v>
      </c>
      <c r="E1173" s="10">
        <f t="shared" ca="1" si="75"/>
        <v>0.24878612248189483</v>
      </c>
      <c r="G1173" s="8">
        <v>44633</v>
      </c>
      <c r="H1173" s="10">
        <f t="shared" ca="1" si="77"/>
        <v>0.21157661095950164</v>
      </c>
    </row>
    <row r="1174" spans="2:8" hidden="1" x14ac:dyDescent="0.2">
      <c r="B1174" s="8">
        <v>44634</v>
      </c>
      <c r="C1174" s="9">
        <f t="shared" ca="1" si="74"/>
        <v>11164.533352940984</v>
      </c>
      <c r="D1174" s="9">
        <f t="shared" ca="1" si="76"/>
        <v>36642.544354814687</v>
      </c>
      <c r="E1174" s="10">
        <f t="shared" ca="1" si="75"/>
        <v>8.7595873834576843E-2</v>
      </c>
      <c r="G1174" s="8">
        <v>44634</v>
      </c>
      <c r="H1174" s="10">
        <f t="shared" ca="1" si="77"/>
        <v>0.202024173215263</v>
      </c>
    </row>
    <row r="1175" spans="2:8" hidden="1" x14ac:dyDescent="0.2">
      <c r="B1175" s="8">
        <v>44635</v>
      </c>
      <c r="C1175" s="9">
        <f t="shared" ca="1" si="74"/>
        <v>14916.285595065052</v>
      </c>
      <c r="D1175" s="9">
        <f t="shared" ca="1" si="76"/>
        <v>34504.357491419185</v>
      </c>
      <c r="E1175" s="10">
        <f t="shared" ca="1" si="75"/>
        <v>0.2828528484914567</v>
      </c>
      <c r="G1175" s="8">
        <v>44635</v>
      </c>
      <c r="H1175" s="10">
        <f t="shared" ca="1" si="77"/>
        <v>0.29670783750395163</v>
      </c>
    </row>
    <row r="1176" spans="2:8" hidden="1" x14ac:dyDescent="0.2">
      <c r="B1176" s="8">
        <v>44636</v>
      </c>
      <c r="C1176" s="9">
        <f t="shared" ca="1" si="74"/>
        <v>13460.109879511783</v>
      </c>
      <c r="D1176" s="9">
        <f t="shared" ca="1" si="76"/>
        <v>27537.551471954088</v>
      </c>
      <c r="E1176" s="10">
        <f t="shared" ca="1" si="75"/>
        <v>0.18658326152774793</v>
      </c>
      <c r="G1176" s="8">
        <v>44636</v>
      </c>
      <c r="H1176" s="10">
        <f t="shared" ca="1" si="77"/>
        <v>0.34404407559401484</v>
      </c>
    </row>
    <row r="1177" spans="2:8" hidden="1" x14ac:dyDescent="0.2">
      <c r="B1177" s="8">
        <v>44637</v>
      </c>
      <c r="C1177" s="9">
        <f t="shared" ca="1" si="74"/>
        <v>14739.152717744766</v>
      </c>
      <c r="D1177" s="9">
        <f t="shared" ca="1" si="76"/>
        <v>36429.10598729887</v>
      </c>
      <c r="E1177" s="10">
        <f t="shared" ca="1" si="75"/>
        <v>0.2442932391836096</v>
      </c>
      <c r="G1177" s="8">
        <v>44637</v>
      </c>
      <c r="H1177" s="10">
        <f t="shared" ca="1" si="77"/>
        <v>0.26352133890510099</v>
      </c>
    </row>
    <row r="1178" spans="2:8" hidden="1" x14ac:dyDescent="0.2">
      <c r="B1178" s="8">
        <v>44638</v>
      </c>
      <c r="C1178" s="9">
        <f t="shared" ca="1" si="74"/>
        <v>14609.159825049948</v>
      </c>
      <c r="D1178" s="9">
        <f t="shared" ca="1" si="76"/>
        <v>33080.763204607705</v>
      </c>
      <c r="E1178" s="10">
        <f t="shared" ca="1" si="75"/>
        <v>0.27768418203915052</v>
      </c>
      <c r="G1178" s="8">
        <v>44638</v>
      </c>
      <c r="H1178" s="10">
        <f t="shared" ca="1" si="77"/>
        <v>0.10544738714041564</v>
      </c>
    </row>
    <row r="1179" spans="2:8" hidden="1" x14ac:dyDescent="0.2">
      <c r="B1179" s="8">
        <v>44639</v>
      </c>
      <c r="C1179" s="9">
        <f t="shared" ca="1" si="74"/>
        <v>17002.284704457132</v>
      </c>
      <c r="D1179" s="9">
        <f t="shared" ca="1" si="76"/>
        <v>16987.093775241829</v>
      </c>
      <c r="E1179" s="10">
        <f t="shared" ca="1" si="75"/>
        <v>3.3359703906864712E-3</v>
      </c>
      <c r="G1179" s="8">
        <v>44639</v>
      </c>
      <c r="H1179" s="10">
        <f t="shared" ca="1" si="77"/>
        <v>0.30345249621603038</v>
      </c>
    </row>
    <row r="1180" spans="2:8" hidden="1" x14ac:dyDescent="0.2">
      <c r="B1180" s="8">
        <v>44640</v>
      </c>
      <c r="C1180" s="9">
        <f t="shared" ca="1" si="74"/>
        <v>12490.448729578527</v>
      </c>
      <c r="D1180" s="9">
        <f t="shared" ca="1" si="76"/>
        <v>33710.853665175746</v>
      </c>
      <c r="E1180" s="10">
        <f t="shared" ca="1" si="75"/>
        <v>0.10383873978237626</v>
      </c>
      <c r="G1180" s="8">
        <v>44640</v>
      </c>
      <c r="H1180" s="10">
        <f t="shared" ca="1" si="77"/>
        <v>0.36665416730225808</v>
      </c>
    </row>
    <row r="1181" spans="2:8" hidden="1" x14ac:dyDescent="0.2">
      <c r="B1181" s="8">
        <v>44641</v>
      </c>
      <c r="C1181" s="9">
        <f t="shared" ca="1" si="74"/>
        <v>11235.377027251225</v>
      </c>
      <c r="D1181" s="9">
        <f t="shared" ca="1" si="76"/>
        <v>21939.191076248771</v>
      </c>
      <c r="E1181" s="10">
        <f t="shared" ca="1" si="75"/>
        <v>0.23237545307038809</v>
      </c>
      <c r="G1181" s="8">
        <v>44641</v>
      </c>
      <c r="H1181" s="10">
        <f t="shared" ca="1" si="77"/>
        <v>8.1528166128874993E-2</v>
      </c>
    </row>
    <row r="1182" spans="2:8" hidden="1" x14ac:dyDescent="0.2">
      <c r="B1182" s="8">
        <v>44642</v>
      </c>
      <c r="C1182" s="9">
        <f t="shared" ca="1" si="74"/>
        <v>10107.168906890802</v>
      </c>
      <c r="D1182" s="9">
        <f t="shared" ca="1" si="76"/>
        <v>35912.469368997539</v>
      </c>
      <c r="E1182" s="10">
        <f t="shared" ca="1" si="75"/>
        <v>0.13742792860465172</v>
      </c>
      <c r="G1182" s="8">
        <v>44642</v>
      </c>
      <c r="H1182" s="10">
        <f t="shared" ca="1" si="77"/>
        <v>0.3267478391832852</v>
      </c>
    </row>
    <row r="1183" spans="2:8" hidden="1" x14ac:dyDescent="0.2">
      <c r="B1183" s="8">
        <v>44643</v>
      </c>
      <c r="C1183" s="9">
        <f t="shared" ca="1" si="74"/>
        <v>13360.014577491203</v>
      </c>
      <c r="D1183" s="9">
        <f t="shared" ca="1" si="76"/>
        <v>16192.94996491818</v>
      </c>
      <c r="E1183" s="10">
        <f t="shared" ca="1" si="75"/>
        <v>7.0424785033632101E-2</v>
      </c>
      <c r="G1183" s="8">
        <v>44643</v>
      </c>
      <c r="H1183" s="10">
        <f t="shared" ca="1" si="77"/>
        <v>0.21497326512527581</v>
      </c>
    </row>
    <row r="1184" spans="2:8" hidden="1" x14ac:dyDescent="0.2">
      <c r="B1184" s="8">
        <v>44644</v>
      </c>
      <c r="C1184" s="9">
        <f t="shared" ca="1" si="74"/>
        <v>14673.737157920295</v>
      </c>
      <c r="D1184" s="9">
        <f t="shared" ca="1" si="76"/>
        <v>27943.529802467481</v>
      </c>
      <c r="E1184" s="10">
        <f t="shared" ca="1" si="75"/>
        <v>0.22481936158950594</v>
      </c>
      <c r="G1184" s="8">
        <v>44644</v>
      </c>
      <c r="H1184" s="10">
        <f t="shared" ca="1" si="77"/>
        <v>0.26054963557375893</v>
      </c>
    </row>
    <row r="1185" spans="2:8" hidden="1" x14ac:dyDescent="0.2">
      <c r="B1185" s="8">
        <v>44645</v>
      </c>
      <c r="C1185" s="9">
        <f t="shared" ca="1" si="74"/>
        <v>12685.936832344758</v>
      </c>
      <c r="D1185" s="9">
        <f t="shared" ca="1" si="76"/>
        <v>24416.739602290894</v>
      </c>
      <c r="E1185" s="10">
        <f t="shared" ca="1" si="75"/>
        <v>0.16509982936877807</v>
      </c>
      <c r="G1185" s="8">
        <v>44645</v>
      </c>
      <c r="H1185" s="10">
        <f t="shared" ca="1" si="77"/>
        <v>0.16833784193266477</v>
      </c>
    </row>
    <row r="1186" spans="2:8" hidden="1" x14ac:dyDescent="0.2">
      <c r="B1186" s="8">
        <v>44646</v>
      </c>
      <c r="C1186" s="9">
        <f t="shared" ca="1" si="74"/>
        <v>10304.487412217264</v>
      </c>
      <c r="D1186" s="9">
        <f t="shared" ca="1" si="76"/>
        <v>31603.795731240178</v>
      </c>
      <c r="E1186" s="10">
        <f t="shared" ca="1" si="75"/>
        <v>4.6367679099625136E-2</v>
      </c>
      <c r="G1186" s="8">
        <v>44646</v>
      </c>
      <c r="H1186" s="10">
        <f t="shared" ca="1" si="77"/>
        <v>0.2577581309387742</v>
      </c>
    </row>
    <row r="1187" spans="2:8" hidden="1" x14ac:dyDescent="0.2">
      <c r="B1187" s="8">
        <v>44647</v>
      </c>
      <c r="C1187" s="9">
        <f t="shared" ca="1" si="74"/>
        <v>13460.832828279556</v>
      </c>
      <c r="D1187" s="9">
        <f t="shared" ca="1" si="76"/>
        <v>39940.18005346477</v>
      </c>
      <c r="E1187" s="10">
        <f t="shared" ca="1" si="75"/>
        <v>0.23461831206283873</v>
      </c>
      <c r="G1187" s="8">
        <v>44647</v>
      </c>
      <c r="H1187" s="10">
        <f t="shared" ca="1" si="77"/>
        <v>0.37153931592665862</v>
      </c>
    </row>
    <row r="1188" spans="2:8" hidden="1" x14ac:dyDescent="0.2">
      <c r="B1188" s="8">
        <v>44648</v>
      </c>
      <c r="C1188" s="9">
        <f t="shared" ca="1" si="74"/>
        <v>15461.191858031845</v>
      </c>
      <c r="D1188" s="9">
        <f t="shared" ca="1" si="76"/>
        <v>24997.647968405719</v>
      </c>
      <c r="E1188" s="10">
        <f t="shared" ca="1" si="75"/>
        <v>0.19109239231264358</v>
      </c>
      <c r="G1188" s="8">
        <v>44648</v>
      </c>
      <c r="H1188" s="10">
        <f t="shared" ca="1" si="77"/>
        <v>0.24576290157725383</v>
      </c>
    </row>
    <row r="1189" spans="2:8" hidden="1" x14ac:dyDescent="0.2">
      <c r="B1189" s="8">
        <v>44649</v>
      </c>
      <c r="C1189" s="9">
        <f t="shared" ca="1" si="74"/>
        <v>14904.612804418197</v>
      </c>
      <c r="D1189" s="9">
        <f t="shared" ca="1" si="76"/>
        <v>36662.890433045992</v>
      </c>
      <c r="E1189" s="10">
        <f t="shared" ca="1" si="75"/>
        <v>0.25531911068637581</v>
      </c>
      <c r="G1189" s="8">
        <v>44649</v>
      </c>
      <c r="H1189" s="10">
        <f t="shared" ca="1" si="77"/>
        <v>0.38569201865726582</v>
      </c>
    </row>
    <row r="1190" spans="2:8" hidden="1" x14ac:dyDescent="0.2">
      <c r="B1190" s="8">
        <v>44650</v>
      </c>
      <c r="C1190" s="9">
        <f t="shared" ca="1" si="74"/>
        <v>13303.150379160477</v>
      </c>
      <c r="D1190" s="9">
        <f t="shared" ca="1" si="76"/>
        <v>34467.152987783658</v>
      </c>
      <c r="E1190" s="10">
        <f t="shared" ca="1" si="75"/>
        <v>0.1818812805535899</v>
      </c>
      <c r="G1190" s="8">
        <v>44650</v>
      </c>
      <c r="H1190" s="10">
        <f t="shared" ca="1" si="77"/>
        <v>0.27300056402212614</v>
      </c>
    </row>
    <row r="1191" spans="2:8" hidden="1" x14ac:dyDescent="0.2">
      <c r="B1191" s="8">
        <v>44651</v>
      </c>
      <c r="C1191" s="9">
        <f t="shared" ca="1" si="74"/>
        <v>14306.760777861442</v>
      </c>
      <c r="D1191" s="9">
        <f t="shared" ca="1" si="76"/>
        <v>32275.525080731546</v>
      </c>
      <c r="E1191" s="10">
        <f t="shared" ca="1" si="75"/>
        <v>0.18704660004661897</v>
      </c>
      <c r="G1191" s="8">
        <v>44651</v>
      </c>
      <c r="H1191" s="10">
        <f t="shared" ca="1" si="77"/>
        <v>0.35416662355448392</v>
      </c>
    </row>
    <row r="1192" spans="2:8" hidden="1" x14ac:dyDescent="0.2">
      <c r="B1192" s="8">
        <v>44652</v>
      </c>
      <c r="C1192" s="9">
        <f t="shared" ca="1" si="74"/>
        <v>16099.630733046943</v>
      </c>
      <c r="D1192" s="9">
        <f t="shared" ca="1" si="76"/>
        <v>20114.667855117204</v>
      </c>
      <c r="E1192" s="10">
        <f t="shared" ca="1" si="75"/>
        <v>0.19323551646430751</v>
      </c>
      <c r="G1192" s="8">
        <v>44652</v>
      </c>
      <c r="H1192" s="10">
        <f t="shared" ca="1" si="77"/>
        <v>0.22660286592471762</v>
      </c>
    </row>
    <row r="1193" spans="2:8" hidden="1" x14ac:dyDescent="0.2">
      <c r="B1193" s="8">
        <v>44653</v>
      </c>
      <c r="C1193" s="9">
        <f t="shared" ca="1" si="74"/>
        <v>17156.729444103046</v>
      </c>
      <c r="D1193" s="9">
        <f t="shared" ca="1" si="76"/>
        <v>24750.981472570878</v>
      </c>
      <c r="E1193" s="10">
        <f t="shared" ca="1" si="75"/>
        <v>0.2795739601991305</v>
      </c>
      <c r="G1193" s="8">
        <v>44653</v>
      </c>
      <c r="H1193" s="10">
        <f t="shared" ca="1" si="77"/>
        <v>0.11941643238473812</v>
      </c>
    </row>
    <row r="1194" spans="2:8" hidden="1" x14ac:dyDescent="0.2">
      <c r="B1194" s="8">
        <v>44654</v>
      </c>
      <c r="C1194" s="9">
        <f t="shared" ca="1" si="74"/>
        <v>12887.557434815368</v>
      </c>
      <c r="D1194" s="9">
        <f t="shared" ca="1" si="76"/>
        <v>27158.883186247203</v>
      </c>
      <c r="E1194" s="10">
        <f t="shared" ca="1" si="75"/>
        <v>0.28957970600834149</v>
      </c>
      <c r="G1194" s="8">
        <v>44654</v>
      </c>
      <c r="H1194" s="10">
        <f t="shared" ca="1" si="77"/>
        <v>0.32310387011818226</v>
      </c>
    </row>
    <row r="1195" spans="2:8" hidden="1" x14ac:dyDescent="0.2">
      <c r="B1195" s="8">
        <v>44655</v>
      </c>
      <c r="C1195" s="9">
        <f t="shared" ca="1" si="74"/>
        <v>16730.124023317629</v>
      </c>
      <c r="D1195" s="9">
        <f t="shared" ca="1" si="76"/>
        <v>23618.482486235822</v>
      </c>
      <c r="E1195" s="10">
        <f t="shared" ca="1" si="75"/>
        <v>8.0391104309486594E-2</v>
      </c>
      <c r="G1195" s="8">
        <v>44655</v>
      </c>
      <c r="H1195" s="10">
        <f t="shared" ca="1" si="77"/>
        <v>0.25958690623794445</v>
      </c>
    </row>
    <row r="1196" spans="2:8" hidden="1" x14ac:dyDescent="0.2">
      <c r="B1196" s="8">
        <v>44656</v>
      </c>
      <c r="C1196" s="9">
        <f t="shared" ca="1" si="74"/>
        <v>13791.942585877474</v>
      </c>
      <c r="D1196" s="9">
        <f t="shared" ca="1" si="76"/>
        <v>39722.269335295154</v>
      </c>
      <c r="E1196" s="10">
        <f t="shared" ca="1" si="75"/>
        <v>3.2827930405298168E-2</v>
      </c>
      <c r="G1196" s="8">
        <v>44656</v>
      </c>
      <c r="H1196" s="10">
        <f t="shared" ca="1" si="77"/>
        <v>0.15898729187528132</v>
      </c>
    </row>
    <row r="1197" spans="2:8" hidden="1" x14ac:dyDescent="0.2">
      <c r="B1197" s="8">
        <v>44657</v>
      </c>
      <c r="C1197" s="9">
        <f t="shared" ca="1" si="74"/>
        <v>16947.216827337797</v>
      </c>
      <c r="D1197" s="9">
        <f t="shared" ca="1" si="76"/>
        <v>33651.731463130011</v>
      </c>
      <c r="E1197" s="10">
        <f t="shared" ca="1" si="75"/>
        <v>9.8614962093113261E-3</v>
      </c>
      <c r="G1197" s="8">
        <v>44657</v>
      </c>
      <c r="H1197" s="10">
        <f t="shared" ca="1" si="77"/>
        <v>0.28331690222529299</v>
      </c>
    </row>
    <row r="1198" spans="2:8" hidden="1" x14ac:dyDescent="0.2">
      <c r="B1198" s="8">
        <v>44658</v>
      </c>
      <c r="C1198" s="9">
        <f t="shared" ca="1" si="74"/>
        <v>11196.991088744295</v>
      </c>
      <c r="D1198" s="9">
        <f t="shared" ca="1" si="76"/>
        <v>15092.31674655928</v>
      </c>
      <c r="E1198" s="10">
        <f t="shared" ca="1" si="75"/>
        <v>0.12933300365598521</v>
      </c>
      <c r="G1198" s="8">
        <v>44658</v>
      </c>
      <c r="H1198" s="10">
        <f t="shared" ca="1" si="77"/>
        <v>0.15257639284606261</v>
      </c>
    </row>
    <row r="1199" spans="2:8" hidden="1" x14ac:dyDescent="0.2">
      <c r="B1199" s="8">
        <v>44659</v>
      </c>
      <c r="C1199" s="9">
        <f t="shared" ca="1" si="74"/>
        <v>14741.900557086683</v>
      </c>
      <c r="D1199" s="9">
        <f t="shared" ca="1" si="76"/>
        <v>30090.714462024389</v>
      </c>
      <c r="E1199" s="10">
        <f t="shared" ca="1" si="75"/>
        <v>0.29860440563341434</v>
      </c>
      <c r="G1199" s="8">
        <v>44659</v>
      </c>
      <c r="H1199" s="10">
        <f t="shared" ca="1" si="77"/>
        <v>0.39974445806054465</v>
      </c>
    </row>
    <row r="1200" spans="2:8" hidden="1" x14ac:dyDescent="0.2">
      <c r="B1200" s="8">
        <v>44660</v>
      </c>
      <c r="C1200" s="9">
        <f t="shared" ca="1" si="74"/>
        <v>12504.150400749069</v>
      </c>
      <c r="D1200" s="9">
        <f t="shared" ca="1" si="76"/>
        <v>22748.096013587034</v>
      </c>
      <c r="E1200" s="10">
        <f t="shared" ca="1" si="75"/>
        <v>0.13773010853326448</v>
      </c>
      <c r="G1200" s="8">
        <v>44660</v>
      </c>
      <c r="H1200" s="10">
        <f t="shared" ca="1" si="77"/>
        <v>9.8389292244727325E-2</v>
      </c>
    </row>
    <row r="1201" spans="2:8" hidden="1" x14ac:dyDescent="0.2">
      <c r="B1201" s="8">
        <v>44661</v>
      </c>
      <c r="C1201" s="9">
        <f t="shared" ca="1" si="74"/>
        <v>16471.634418143134</v>
      </c>
      <c r="D1201" s="9">
        <f t="shared" ca="1" si="76"/>
        <v>18553.680713760055</v>
      </c>
      <c r="E1201" s="10">
        <f t="shared" ca="1" si="75"/>
        <v>8.3109900117797689E-2</v>
      </c>
      <c r="G1201" s="8">
        <v>44661</v>
      </c>
      <c r="H1201" s="10">
        <f t="shared" ca="1" si="77"/>
        <v>0.38199808465685769</v>
      </c>
    </row>
    <row r="1202" spans="2:8" hidden="1" x14ac:dyDescent="0.2">
      <c r="B1202" s="8">
        <v>44662</v>
      </c>
      <c r="C1202" s="9">
        <f t="shared" ca="1" si="74"/>
        <v>13824.60290365879</v>
      </c>
      <c r="D1202" s="9">
        <f t="shared" ca="1" si="76"/>
        <v>11506.50178248436</v>
      </c>
      <c r="E1202" s="10">
        <f t="shared" ca="1" si="75"/>
        <v>0.16149788421906142</v>
      </c>
      <c r="G1202" s="8">
        <v>44662</v>
      </c>
      <c r="H1202" s="10">
        <f t="shared" ca="1" si="77"/>
        <v>0.24642825411842822</v>
      </c>
    </row>
    <row r="1203" spans="2:8" hidden="1" x14ac:dyDescent="0.2">
      <c r="B1203" s="8">
        <v>44663</v>
      </c>
      <c r="C1203" s="9">
        <f t="shared" ca="1" si="74"/>
        <v>12922.996694229598</v>
      </c>
      <c r="D1203" s="9">
        <f t="shared" ca="1" si="76"/>
        <v>38168.656029398917</v>
      </c>
      <c r="E1203" s="10">
        <f t="shared" ca="1" si="75"/>
        <v>0.25669245112448569</v>
      </c>
      <c r="G1203" s="8">
        <v>44663</v>
      </c>
      <c r="H1203" s="10">
        <f t="shared" ca="1" si="77"/>
        <v>0.20009276972364848</v>
      </c>
    </row>
    <row r="1204" spans="2:8" hidden="1" x14ac:dyDescent="0.2">
      <c r="B1204" s="8">
        <v>44664</v>
      </c>
      <c r="C1204" s="9">
        <f t="shared" ca="1" si="74"/>
        <v>13932.22933960268</v>
      </c>
      <c r="D1204" s="9">
        <f t="shared" ca="1" si="76"/>
        <v>14480.550220192594</v>
      </c>
      <c r="E1204" s="10">
        <f t="shared" ca="1" si="75"/>
        <v>0.14445278688848873</v>
      </c>
      <c r="G1204" s="8">
        <v>44664</v>
      </c>
      <c r="H1204" s="10">
        <f t="shared" ca="1" si="77"/>
        <v>0.10354372405874798</v>
      </c>
    </row>
    <row r="1205" spans="2:8" hidden="1" x14ac:dyDescent="0.2">
      <c r="B1205" s="8">
        <v>44665</v>
      </c>
      <c r="C1205" s="9">
        <f t="shared" ca="1" si="74"/>
        <v>16762.148599699743</v>
      </c>
      <c r="D1205" s="9">
        <f t="shared" ca="1" si="76"/>
        <v>17286.80404662104</v>
      </c>
      <c r="E1205" s="10">
        <f t="shared" ca="1" si="75"/>
        <v>0.19704719992986475</v>
      </c>
      <c r="G1205" s="8">
        <v>44665</v>
      </c>
      <c r="H1205" s="10">
        <f t="shared" ca="1" si="77"/>
        <v>0.1141900379218702</v>
      </c>
    </row>
    <row r="1206" spans="2:8" hidden="1" x14ac:dyDescent="0.2">
      <c r="B1206" s="8">
        <v>44666</v>
      </c>
      <c r="C1206" s="9">
        <f t="shared" ca="1" si="74"/>
        <v>16530.33981293712</v>
      </c>
      <c r="D1206" s="9">
        <f t="shared" ca="1" si="76"/>
        <v>18292.601575643668</v>
      </c>
      <c r="E1206" s="10">
        <f t="shared" ca="1" si="75"/>
        <v>0.26333974073531446</v>
      </c>
      <c r="G1206" s="8">
        <v>44666</v>
      </c>
      <c r="H1206" s="10">
        <f t="shared" ca="1" si="77"/>
        <v>0.11459285769467574</v>
      </c>
    </row>
    <row r="1207" spans="2:8" hidden="1" x14ac:dyDescent="0.2">
      <c r="B1207" s="8">
        <v>44667</v>
      </c>
      <c r="C1207" s="9">
        <f t="shared" ca="1" si="74"/>
        <v>14724.448542735345</v>
      </c>
      <c r="D1207" s="9">
        <f t="shared" ca="1" si="76"/>
        <v>23729.719901056822</v>
      </c>
      <c r="E1207" s="10">
        <f t="shared" ca="1" si="75"/>
        <v>0.14480000421752451</v>
      </c>
      <c r="G1207" s="8">
        <v>44667</v>
      </c>
      <c r="H1207" s="10">
        <f t="shared" ca="1" si="77"/>
        <v>0.25896651209735344</v>
      </c>
    </row>
    <row r="1208" spans="2:8" hidden="1" x14ac:dyDescent="0.2">
      <c r="B1208" s="8">
        <v>44668</v>
      </c>
      <c r="C1208" s="9">
        <f t="shared" ca="1" si="74"/>
        <v>12741.561233974564</v>
      </c>
      <c r="D1208" s="9">
        <f t="shared" ca="1" si="76"/>
        <v>38210.629430517387</v>
      </c>
      <c r="E1208" s="10">
        <f t="shared" ca="1" si="75"/>
        <v>0.11932902202476592</v>
      </c>
      <c r="G1208" s="8">
        <v>44668</v>
      </c>
      <c r="H1208" s="10">
        <f t="shared" ca="1" si="77"/>
        <v>0.245809353310463</v>
      </c>
    </row>
    <row r="1209" spans="2:8" hidden="1" x14ac:dyDescent="0.2">
      <c r="B1209" s="8">
        <v>44669</v>
      </c>
      <c r="C1209" s="9">
        <f t="shared" ca="1" si="74"/>
        <v>16057.356824533252</v>
      </c>
      <c r="D1209" s="9">
        <f t="shared" ca="1" si="76"/>
        <v>37194.282824185364</v>
      </c>
      <c r="E1209" s="10">
        <f t="shared" ca="1" si="75"/>
        <v>5.232764334138381E-2</v>
      </c>
      <c r="G1209" s="8">
        <v>44669</v>
      </c>
      <c r="H1209" s="10">
        <f t="shared" ca="1" si="77"/>
        <v>0.22895157853627751</v>
      </c>
    </row>
    <row r="1210" spans="2:8" hidden="1" x14ac:dyDescent="0.2">
      <c r="B1210" s="8">
        <v>44670</v>
      </c>
      <c r="C1210" s="9">
        <f t="shared" ca="1" si="74"/>
        <v>13306.630782365679</v>
      </c>
      <c r="D1210" s="9">
        <f t="shared" ca="1" si="76"/>
        <v>33914.176717625392</v>
      </c>
      <c r="E1210" s="10">
        <f t="shared" ca="1" si="75"/>
        <v>0.25504169122182119</v>
      </c>
      <c r="G1210" s="8">
        <v>44670</v>
      </c>
      <c r="H1210" s="10">
        <f t="shared" ca="1" si="77"/>
        <v>0.2667180909054227</v>
      </c>
    </row>
    <row r="1211" spans="2:8" hidden="1" x14ac:dyDescent="0.2">
      <c r="B1211" s="8">
        <v>44671</v>
      </c>
      <c r="C1211" s="9">
        <f t="shared" ca="1" si="74"/>
        <v>16038.402183418573</v>
      </c>
      <c r="D1211" s="9">
        <f t="shared" ca="1" si="76"/>
        <v>28071.975940811612</v>
      </c>
      <c r="E1211" s="10">
        <f t="shared" ca="1" si="75"/>
        <v>0.28457733577302147</v>
      </c>
      <c r="G1211" s="8">
        <v>44671</v>
      </c>
      <c r="H1211" s="10">
        <f t="shared" ca="1" si="77"/>
        <v>0.1651914779857746</v>
      </c>
    </row>
    <row r="1212" spans="2:8" hidden="1" x14ac:dyDescent="0.2">
      <c r="B1212" s="8">
        <v>44672</v>
      </c>
      <c r="C1212" s="9">
        <f t="shared" ca="1" si="74"/>
        <v>14939.757001469636</v>
      </c>
      <c r="D1212" s="9">
        <f t="shared" ca="1" si="76"/>
        <v>36330.266472331801</v>
      </c>
      <c r="E1212" s="10">
        <f t="shared" ca="1" si="75"/>
        <v>6.0273925254862866E-2</v>
      </c>
      <c r="G1212" s="8">
        <v>44672</v>
      </c>
      <c r="H1212" s="10">
        <f t="shared" ca="1" si="77"/>
        <v>0.13924473689619288</v>
      </c>
    </row>
    <row r="1213" spans="2:8" hidden="1" x14ac:dyDescent="0.2">
      <c r="B1213" s="8">
        <v>44673</v>
      </c>
      <c r="C1213" s="9">
        <f t="shared" ca="1" si="74"/>
        <v>17707.353453491349</v>
      </c>
      <c r="D1213" s="9">
        <f t="shared" ca="1" si="76"/>
        <v>16171.974056084833</v>
      </c>
      <c r="E1213" s="10">
        <f t="shared" ca="1" si="75"/>
        <v>0.23058823815101637</v>
      </c>
      <c r="G1213" s="8">
        <v>44673</v>
      </c>
      <c r="H1213" s="10">
        <f t="shared" ca="1" si="77"/>
        <v>0.31250347569518516</v>
      </c>
    </row>
    <row r="1214" spans="2:8" hidden="1" x14ac:dyDescent="0.2">
      <c r="B1214" s="8">
        <v>44674</v>
      </c>
      <c r="C1214" s="9">
        <f t="shared" ca="1" si="74"/>
        <v>11358.999470572406</v>
      </c>
      <c r="D1214" s="9">
        <f t="shared" ca="1" si="76"/>
        <v>13700.952775070062</v>
      </c>
      <c r="E1214" s="10">
        <f t="shared" ca="1" si="75"/>
        <v>0.26605392707418934</v>
      </c>
      <c r="G1214" s="8">
        <v>44674</v>
      </c>
      <c r="H1214" s="10">
        <f t="shared" ca="1" si="77"/>
        <v>0.28391446610896981</v>
      </c>
    </row>
    <row r="1215" spans="2:8" hidden="1" x14ac:dyDescent="0.2">
      <c r="B1215" s="8">
        <v>44675</v>
      </c>
      <c r="C1215" s="9">
        <f t="shared" ca="1" si="74"/>
        <v>11496.533113076839</v>
      </c>
      <c r="D1215" s="9">
        <f t="shared" ca="1" si="76"/>
        <v>29722.599608528915</v>
      </c>
      <c r="E1215" s="10">
        <f t="shared" ca="1" si="75"/>
        <v>0.12110810109484227</v>
      </c>
      <c r="G1215" s="8">
        <v>44675</v>
      </c>
      <c r="H1215" s="10">
        <f t="shared" ca="1" si="77"/>
        <v>0.15528195242996837</v>
      </c>
    </row>
    <row r="1216" spans="2:8" hidden="1" x14ac:dyDescent="0.2">
      <c r="B1216" s="8">
        <v>44676</v>
      </c>
      <c r="C1216" s="9">
        <f t="shared" ca="1" si="74"/>
        <v>17754.325092326013</v>
      </c>
      <c r="D1216" s="9">
        <f t="shared" ca="1" si="76"/>
        <v>38797.511124788245</v>
      </c>
      <c r="E1216" s="10">
        <f t="shared" ca="1" si="75"/>
        <v>0.16112452298197005</v>
      </c>
      <c r="G1216" s="8">
        <v>44676</v>
      </c>
      <c r="H1216" s="10">
        <f t="shared" ca="1" si="77"/>
        <v>0.19344434913586273</v>
      </c>
    </row>
    <row r="1217" spans="2:8" hidden="1" x14ac:dyDescent="0.2">
      <c r="B1217" s="8">
        <v>44677</v>
      </c>
      <c r="C1217" s="9">
        <f t="shared" ca="1" si="74"/>
        <v>11539.208815244372</v>
      </c>
      <c r="D1217" s="9">
        <f t="shared" ca="1" si="76"/>
        <v>14296.496142004988</v>
      </c>
      <c r="E1217" s="10">
        <f t="shared" ca="1" si="75"/>
        <v>0.19436947155965187</v>
      </c>
      <c r="G1217" s="8">
        <v>44677</v>
      </c>
      <c r="H1217" s="10">
        <f t="shared" ca="1" si="77"/>
        <v>0.23217686407684973</v>
      </c>
    </row>
    <row r="1218" spans="2:8" hidden="1" x14ac:dyDescent="0.2">
      <c r="B1218" s="8">
        <v>44678</v>
      </c>
      <c r="C1218" s="9">
        <f t="shared" ca="1" si="74"/>
        <v>12655.087002157528</v>
      </c>
      <c r="D1218" s="9">
        <f t="shared" ca="1" si="76"/>
        <v>33675.517925451961</v>
      </c>
      <c r="E1218" s="10">
        <f t="shared" ca="1" si="75"/>
        <v>4.4895415772194254E-2</v>
      </c>
      <c r="G1218" s="8">
        <v>44678</v>
      </c>
      <c r="H1218" s="10">
        <f t="shared" ca="1" si="77"/>
        <v>0.38041214417670377</v>
      </c>
    </row>
    <row r="1219" spans="2:8" hidden="1" x14ac:dyDescent="0.2">
      <c r="B1219" s="8">
        <v>44679</v>
      </c>
      <c r="C1219" s="9">
        <f t="shared" ca="1" si="74"/>
        <v>10401.514461871862</v>
      </c>
      <c r="D1219" s="9">
        <f t="shared" ca="1" si="76"/>
        <v>22714.15971873646</v>
      </c>
      <c r="E1219" s="10">
        <f t="shared" ca="1" si="75"/>
        <v>2.5719913168530052E-2</v>
      </c>
      <c r="G1219" s="8">
        <v>44679</v>
      </c>
      <c r="H1219" s="10">
        <f t="shared" ca="1" si="77"/>
        <v>0.36355678325593555</v>
      </c>
    </row>
    <row r="1220" spans="2:8" hidden="1" x14ac:dyDescent="0.2">
      <c r="B1220" s="8">
        <v>44680</v>
      </c>
      <c r="C1220" s="9">
        <f t="shared" ca="1" si="74"/>
        <v>12031.490867511233</v>
      </c>
      <c r="D1220" s="9">
        <f t="shared" ca="1" si="76"/>
        <v>15514.930723719539</v>
      </c>
      <c r="E1220" s="10">
        <f t="shared" ca="1" si="75"/>
        <v>1.6643399662220171E-2</v>
      </c>
      <c r="G1220" s="8">
        <v>44680</v>
      </c>
      <c r="H1220" s="10">
        <f t="shared" ca="1" si="77"/>
        <v>0.32918120649511501</v>
      </c>
    </row>
    <row r="1221" spans="2:8" hidden="1" x14ac:dyDescent="0.2">
      <c r="B1221" s="8">
        <v>44681</v>
      </c>
      <c r="C1221" s="9">
        <f t="shared" ca="1" si="74"/>
        <v>12758.618816053975</v>
      </c>
      <c r="D1221" s="9">
        <f t="shared" ca="1" si="76"/>
        <v>24316.070404205842</v>
      </c>
      <c r="E1221" s="10">
        <f t="shared" ca="1" si="75"/>
        <v>0.12500898111765163</v>
      </c>
      <c r="G1221" s="8">
        <v>44681</v>
      </c>
      <c r="H1221" s="10">
        <f t="shared" ca="1" si="77"/>
        <v>0.3747781230921125</v>
      </c>
    </row>
    <row r="1222" spans="2:8" hidden="1" x14ac:dyDescent="0.2">
      <c r="B1222" s="8">
        <v>44682</v>
      </c>
      <c r="C1222" s="9">
        <f t="shared" ca="1" si="74"/>
        <v>12830.397321132328</v>
      </c>
      <c r="D1222" s="9">
        <f t="shared" ca="1" si="76"/>
        <v>12910.177042098287</v>
      </c>
      <c r="E1222" s="10">
        <f t="shared" ca="1" si="75"/>
        <v>0.26704839975821021</v>
      </c>
      <c r="G1222" s="8">
        <v>44682</v>
      </c>
      <c r="H1222" s="10">
        <f t="shared" ca="1" si="77"/>
        <v>0.33711840317947128</v>
      </c>
    </row>
    <row r="1223" spans="2:8" hidden="1" x14ac:dyDescent="0.2">
      <c r="B1223" s="8">
        <v>44683</v>
      </c>
      <c r="C1223" s="9">
        <f t="shared" ref="C1223:C1286" ca="1" si="78">RAND()*(18000-10000)+10000</f>
        <v>16132.329803009652</v>
      </c>
      <c r="D1223" s="9">
        <f t="shared" ca="1" si="76"/>
        <v>24620.422119639192</v>
      </c>
      <c r="E1223" s="10">
        <f t="shared" ref="E1223:E1286" ca="1" si="79">RAND()*(30%-0%)+0%</f>
        <v>5.5575047955080212E-2</v>
      </c>
      <c r="G1223" s="8">
        <v>44683</v>
      </c>
      <c r="H1223" s="10">
        <f t="shared" ca="1" si="77"/>
        <v>0.33252171612126102</v>
      </c>
    </row>
    <row r="1224" spans="2:8" hidden="1" x14ac:dyDescent="0.2">
      <c r="B1224" s="8">
        <v>44684</v>
      </c>
      <c r="C1224" s="9">
        <f t="shared" ca="1" si="78"/>
        <v>16988.959654019571</v>
      </c>
      <c r="D1224" s="9">
        <f t="shared" ca="1" si="76"/>
        <v>17111.614227562386</v>
      </c>
      <c r="E1224" s="10">
        <f t="shared" ca="1" si="79"/>
        <v>0.23591665799658718</v>
      </c>
      <c r="G1224" s="8">
        <v>44684</v>
      </c>
      <c r="H1224" s="10">
        <f t="shared" ca="1" si="77"/>
        <v>0.35094658686182784</v>
      </c>
    </row>
    <row r="1225" spans="2:8" hidden="1" x14ac:dyDescent="0.2">
      <c r="B1225" s="8">
        <v>44685</v>
      </c>
      <c r="C1225" s="9">
        <f t="shared" ca="1" si="78"/>
        <v>11889.668085562511</v>
      </c>
      <c r="D1225" s="9">
        <f t="shared" ca="1" si="76"/>
        <v>14423.245204850879</v>
      </c>
      <c r="E1225" s="10">
        <f t="shared" ca="1" si="79"/>
        <v>0.22452569626636551</v>
      </c>
      <c r="G1225" s="8">
        <v>44685</v>
      </c>
      <c r="H1225" s="10">
        <f t="shared" ca="1" si="77"/>
        <v>0.28701248512651117</v>
      </c>
    </row>
    <row r="1226" spans="2:8" hidden="1" x14ac:dyDescent="0.2">
      <c r="B1226" s="8">
        <v>44686</v>
      </c>
      <c r="C1226" s="9">
        <f t="shared" ca="1" si="78"/>
        <v>16323.255304570184</v>
      </c>
      <c r="D1226" s="9">
        <f t="shared" ca="1" si="76"/>
        <v>30880.879329626066</v>
      </c>
      <c r="E1226" s="10">
        <f t="shared" ca="1" si="79"/>
        <v>2.8149044317867532E-2</v>
      </c>
      <c r="G1226" s="8">
        <v>44686</v>
      </c>
      <c r="H1226" s="10">
        <f t="shared" ca="1" si="77"/>
        <v>0.3625339619663826</v>
      </c>
    </row>
    <row r="1227" spans="2:8" hidden="1" x14ac:dyDescent="0.2">
      <c r="B1227" s="8">
        <v>44687</v>
      </c>
      <c r="C1227" s="9">
        <f t="shared" ca="1" si="78"/>
        <v>10770.960421165777</v>
      </c>
      <c r="D1227" s="9">
        <f t="shared" ca="1" si="76"/>
        <v>39883.071369999365</v>
      </c>
      <c r="E1227" s="10">
        <f t="shared" ca="1" si="79"/>
        <v>0.10695032395477541</v>
      </c>
      <c r="G1227" s="8">
        <v>44687</v>
      </c>
      <c r="H1227" s="10">
        <f t="shared" ca="1" si="77"/>
        <v>0.10331282432452604</v>
      </c>
    </row>
    <row r="1228" spans="2:8" hidden="1" x14ac:dyDescent="0.2">
      <c r="B1228" s="8">
        <v>44688</v>
      </c>
      <c r="C1228" s="9">
        <f t="shared" ca="1" si="78"/>
        <v>17087.403055097369</v>
      </c>
      <c r="D1228" s="9">
        <f t="shared" ca="1" si="76"/>
        <v>19949.551563376728</v>
      </c>
      <c r="E1228" s="10">
        <f t="shared" ca="1" si="79"/>
        <v>0.16362589784250928</v>
      </c>
      <c r="G1228" s="8">
        <v>44688</v>
      </c>
      <c r="H1228" s="10">
        <f t="shared" ca="1" si="77"/>
        <v>0.29329977912513489</v>
      </c>
    </row>
    <row r="1229" spans="2:8" hidden="1" x14ac:dyDescent="0.2">
      <c r="B1229" s="8">
        <v>44689</v>
      </c>
      <c r="C1229" s="9">
        <f t="shared" ca="1" si="78"/>
        <v>13168.781021285262</v>
      </c>
      <c r="D1229" s="9">
        <f t="shared" ca="1" si="76"/>
        <v>27130.145180154956</v>
      </c>
      <c r="E1229" s="10">
        <f t="shared" ca="1" si="79"/>
        <v>0.19865645571154203</v>
      </c>
      <c r="G1229" s="8">
        <v>44689</v>
      </c>
      <c r="H1229" s="10">
        <f t="shared" ca="1" si="77"/>
        <v>0.1327336260268262</v>
      </c>
    </row>
    <row r="1230" spans="2:8" hidden="1" x14ac:dyDescent="0.2">
      <c r="B1230" s="8">
        <v>44690</v>
      </c>
      <c r="C1230" s="9">
        <f t="shared" ca="1" si="78"/>
        <v>13415.245585586385</v>
      </c>
      <c r="D1230" s="9">
        <f t="shared" ca="1" si="76"/>
        <v>18596.51855878051</v>
      </c>
      <c r="E1230" s="10">
        <f t="shared" ca="1" si="79"/>
        <v>0.19571135833980996</v>
      </c>
      <c r="G1230" s="8">
        <v>44690</v>
      </c>
      <c r="H1230" s="10">
        <f t="shared" ca="1" si="77"/>
        <v>0.28899231496292926</v>
      </c>
    </row>
    <row r="1231" spans="2:8" hidden="1" x14ac:dyDescent="0.2">
      <c r="B1231" s="8">
        <v>44691</v>
      </c>
      <c r="C1231" s="9">
        <f t="shared" ca="1" si="78"/>
        <v>10869.119143078251</v>
      </c>
      <c r="D1231" s="9">
        <f t="shared" ref="D1231:D1294" ca="1" si="80">RAND()*(40000-10000)+10000</f>
        <v>21112.443474959065</v>
      </c>
      <c r="E1231" s="10">
        <f t="shared" ca="1" si="79"/>
        <v>0.13370404514238601</v>
      </c>
      <c r="G1231" s="8">
        <v>44691</v>
      </c>
      <c r="H1231" s="10">
        <f t="shared" ref="H1231:H1294" ca="1" si="81">RAND()*(40%-8%)+8%</f>
        <v>0.17580076009555051</v>
      </c>
    </row>
    <row r="1232" spans="2:8" hidden="1" x14ac:dyDescent="0.2">
      <c r="B1232" s="8">
        <v>44692</v>
      </c>
      <c r="C1232" s="9">
        <f t="shared" ca="1" si="78"/>
        <v>14532.063570746704</v>
      </c>
      <c r="D1232" s="9">
        <f t="shared" ca="1" si="80"/>
        <v>20619.43962572857</v>
      </c>
      <c r="E1232" s="10">
        <f t="shared" ca="1" si="79"/>
        <v>0.29548799591962566</v>
      </c>
      <c r="G1232" s="8">
        <v>44692</v>
      </c>
      <c r="H1232" s="10">
        <f t="shared" ca="1" si="81"/>
        <v>0.11079793099371867</v>
      </c>
    </row>
    <row r="1233" spans="2:8" hidden="1" x14ac:dyDescent="0.2">
      <c r="B1233" s="8">
        <v>44693</v>
      </c>
      <c r="C1233" s="9">
        <f t="shared" ca="1" si="78"/>
        <v>16798.176998807263</v>
      </c>
      <c r="D1233" s="9">
        <f t="shared" ca="1" si="80"/>
        <v>19502.98612541976</v>
      </c>
      <c r="E1233" s="10">
        <f t="shared" ca="1" si="79"/>
        <v>0.19506968432010638</v>
      </c>
      <c r="G1233" s="8">
        <v>44693</v>
      </c>
      <c r="H1233" s="10">
        <f t="shared" ca="1" si="81"/>
        <v>0.1870487845892139</v>
      </c>
    </row>
    <row r="1234" spans="2:8" hidden="1" x14ac:dyDescent="0.2">
      <c r="B1234" s="8">
        <v>44694</v>
      </c>
      <c r="C1234" s="9">
        <f t="shared" ca="1" si="78"/>
        <v>15398.743576631261</v>
      </c>
      <c r="D1234" s="9">
        <f t="shared" ca="1" si="80"/>
        <v>33843.947903032633</v>
      </c>
      <c r="E1234" s="10">
        <f t="shared" ca="1" si="79"/>
        <v>0.17422813241885468</v>
      </c>
      <c r="G1234" s="8">
        <v>44694</v>
      </c>
      <c r="H1234" s="10">
        <f t="shared" ca="1" si="81"/>
        <v>0.16665872667491768</v>
      </c>
    </row>
    <row r="1235" spans="2:8" hidden="1" x14ac:dyDescent="0.2">
      <c r="B1235" s="8">
        <v>44695</v>
      </c>
      <c r="C1235" s="9">
        <f t="shared" ca="1" si="78"/>
        <v>12050.983925325725</v>
      </c>
      <c r="D1235" s="9">
        <f t="shared" ca="1" si="80"/>
        <v>34661.859986998854</v>
      </c>
      <c r="E1235" s="10">
        <f t="shared" ca="1" si="79"/>
        <v>0.24959398296175875</v>
      </c>
      <c r="G1235" s="8">
        <v>44695</v>
      </c>
      <c r="H1235" s="10">
        <f t="shared" ca="1" si="81"/>
        <v>0.29996734819209098</v>
      </c>
    </row>
    <row r="1236" spans="2:8" hidden="1" x14ac:dyDescent="0.2">
      <c r="B1236" s="8">
        <v>44696</v>
      </c>
      <c r="C1236" s="9">
        <f t="shared" ca="1" si="78"/>
        <v>14154.921593491828</v>
      </c>
      <c r="D1236" s="9">
        <f t="shared" ca="1" si="80"/>
        <v>25933.780633551665</v>
      </c>
      <c r="E1236" s="10">
        <f t="shared" ca="1" si="79"/>
        <v>0.19267399352254044</v>
      </c>
      <c r="G1236" s="8">
        <v>44696</v>
      </c>
      <c r="H1236" s="10">
        <f t="shared" ca="1" si="81"/>
        <v>0.32857064432467509</v>
      </c>
    </row>
    <row r="1237" spans="2:8" hidden="1" x14ac:dyDescent="0.2">
      <c r="B1237" s="8">
        <v>44697</v>
      </c>
      <c r="C1237" s="9">
        <f t="shared" ca="1" si="78"/>
        <v>12163.022883760888</v>
      </c>
      <c r="D1237" s="9">
        <f t="shared" ca="1" si="80"/>
        <v>14627.500119453758</v>
      </c>
      <c r="E1237" s="10">
        <f t="shared" ca="1" si="79"/>
        <v>0.15483858733631142</v>
      </c>
      <c r="G1237" s="8">
        <v>44697</v>
      </c>
      <c r="H1237" s="10">
        <f t="shared" ca="1" si="81"/>
        <v>0.39578525445879331</v>
      </c>
    </row>
    <row r="1238" spans="2:8" hidden="1" x14ac:dyDescent="0.2">
      <c r="B1238" s="8">
        <v>44698</v>
      </c>
      <c r="C1238" s="9">
        <f t="shared" ca="1" si="78"/>
        <v>15325.946244545072</v>
      </c>
      <c r="D1238" s="9">
        <f t="shared" ca="1" si="80"/>
        <v>32928.991360710883</v>
      </c>
      <c r="E1238" s="10">
        <f t="shared" ca="1" si="79"/>
        <v>8.8983119777345313E-2</v>
      </c>
      <c r="G1238" s="8">
        <v>44698</v>
      </c>
      <c r="H1238" s="10">
        <f t="shared" ca="1" si="81"/>
        <v>0.28725648811054738</v>
      </c>
    </row>
    <row r="1239" spans="2:8" hidden="1" x14ac:dyDescent="0.2">
      <c r="B1239" s="8">
        <v>44699</v>
      </c>
      <c r="C1239" s="9">
        <f t="shared" ca="1" si="78"/>
        <v>11393.445508065046</v>
      </c>
      <c r="D1239" s="9">
        <f t="shared" ca="1" si="80"/>
        <v>36646.56649158043</v>
      </c>
      <c r="E1239" s="10">
        <f t="shared" ca="1" si="79"/>
        <v>4.4464323121767534E-2</v>
      </c>
      <c r="G1239" s="8">
        <v>44699</v>
      </c>
      <c r="H1239" s="10">
        <f t="shared" ca="1" si="81"/>
        <v>0.32467110665381427</v>
      </c>
    </row>
    <row r="1240" spans="2:8" hidden="1" x14ac:dyDescent="0.2">
      <c r="B1240" s="8">
        <v>44700</v>
      </c>
      <c r="C1240" s="9">
        <f t="shared" ca="1" si="78"/>
        <v>16922.307093926818</v>
      </c>
      <c r="D1240" s="9">
        <f t="shared" ca="1" si="80"/>
        <v>25061.997614994048</v>
      </c>
      <c r="E1240" s="10">
        <f t="shared" ca="1" si="79"/>
        <v>0.1601162716232982</v>
      </c>
      <c r="G1240" s="8">
        <v>44700</v>
      </c>
      <c r="H1240" s="10">
        <f t="shared" ca="1" si="81"/>
        <v>0.25526854985747027</v>
      </c>
    </row>
    <row r="1241" spans="2:8" hidden="1" x14ac:dyDescent="0.2">
      <c r="B1241" s="8">
        <v>44701</v>
      </c>
      <c r="C1241" s="9">
        <f t="shared" ca="1" si="78"/>
        <v>10492.476965123218</v>
      </c>
      <c r="D1241" s="9">
        <f t="shared" ca="1" si="80"/>
        <v>32211.017609571241</v>
      </c>
      <c r="E1241" s="10">
        <f t="shared" ca="1" si="79"/>
        <v>0.17808352688662663</v>
      </c>
      <c r="G1241" s="8">
        <v>44701</v>
      </c>
      <c r="H1241" s="10">
        <f t="shared" ca="1" si="81"/>
        <v>0.30725146871954073</v>
      </c>
    </row>
    <row r="1242" spans="2:8" hidden="1" x14ac:dyDescent="0.2">
      <c r="B1242" s="8">
        <v>44702</v>
      </c>
      <c r="C1242" s="9">
        <f t="shared" ca="1" si="78"/>
        <v>12622.492750577265</v>
      </c>
      <c r="D1242" s="9">
        <f t="shared" ca="1" si="80"/>
        <v>22318.85988667333</v>
      </c>
      <c r="E1242" s="10">
        <f t="shared" ca="1" si="79"/>
        <v>0.10362068925450788</v>
      </c>
      <c r="G1242" s="8">
        <v>44702</v>
      </c>
      <c r="H1242" s="10">
        <f t="shared" ca="1" si="81"/>
        <v>0.29425172415371192</v>
      </c>
    </row>
    <row r="1243" spans="2:8" hidden="1" x14ac:dyDescent="0.2">
      <c r="B1243" s="8">
        <v>44703</v>
      </c>
      <c r="C1243" s="9">
        <f t="shared" ca="1" si="78"/>
        <v>12167.129487898401</v>
      </c>
      <c r="D1243" s="9">
        <f t="shared" ca="1" si="80"/>
        <v>36246.914862144244</v>
      </c>
      <c r="E1243" s="10">
        <f t="shared" ca="1" si="79"/>
        <v>0.24690232495080502</v>
      </c>
      <c r="G1243" s="8">
        <v>44703</v>
      </c>
      <c r="H1243" s="10">
        <f t="shared" ca="1" si="81"/>
        <v>0.17809811502742151</v>
      </c>
    </row>
    <row r="1244" spans="2:8" hidden="1" x14ac:dyDescent="0.2">
      <c r="B1244" s="8">
        <v>44704</v>
      </c>
      <c r="C1244" s="9">
        <f t="shared" ca="1" si="78"/>
        <v>16655.465981860376</v>
      </c>
      <c r="D1244" s="9">
        <f t="shared" ca="1" si="80"/>
        <v>15196.950717066769</v>
      </c>
      <c r="E1244" s="10">
        <f t="shared" ca="1" si="79"/>
        <v>4.227193189105137E-2</v>
      </c>
      <c r="G1244" s="8">
        <v>44704</v>
      </c>
      <c r="H1244" s="10">
        <f t="shared" ca="1" si="81"/>
        <v>0.39869262687133983</v>
      </c>
    </row>
    <row r="1245" spans="2:8" hidden="1" x14ac:dyDescent="0.2">
      <c r="B1245" s="8">
        <v>44705</v>
      </c>
      <c r="C1245" s="9">
        <f t="shared" ca="1" si="78"/>
        <v>12277.823487941296</v>
      </c>
      <c r="D1245" s="9">
        <f t="shared" ca="1" si="80"/>
        <v>31215.159901173116</v>
      </c>
      <c r="E1245" s="10">
        <f t="shared" ca="1" si="79"/>
        <v>5.1852623090603712E-2</v>
      </c>
      <c r="G1245" s="8">
        <v>44705</v>
      </c>
      <c r="H1245" s="10">
        <f t="shared" ca="1" si="81"/>
        <v>0.30022447799089214</v>
      </c>
    </row>
    <row r="1246" spans="2:8" hidden="1" x14ac:dyDescent="0.2">
      <c r="B1246" s="8">
        <v>44706</v>
      </c>
      <c r="C1246" s="9">
        <f t="shared" ca="1" si="78"/>
        <v>15903.893383045037</v>
      </c>
      <c r="D1246" s="9">
        <f t="shared" ca="1" si="80"/>
        <v>36382.470736314528</v>
      </c>
      <c r="E1246" s="10">
        <f t="shared" ca="1" si="79"/>
        <v>0.13193769305575967</v>
      </c>
      <c r="G1246" s="8">
        <v>44706</v>
      </c>
      <c r="H1246" s="10">
        <f t="shared" ca="1" si="81"/>
        <v>0.14697856022146383</v>
      </c>
    </row>
    <row r="1247" spans="2:8" hidden="1" x14ac:dyDescent="0.2">
      <c r="B1247" s="8">
        <v>44707</v>
      </c>
      <c r="C1247" s="9">
        <f t="shared" ca="1" si="78"/>
        <v>15420.201440555928</v>
      </c>
      <c r="D1247" s="9">
        <f t="shared" ca="1" si="80"/>
        <v>34960.634085823884</v>
      </c>
      <c r="E1247" s="10">
        <f t="shared" ca="1" si="79"/>
        <v>1.4514219389897609E-2</v>
      </c>
      <c r="G1247" s="8">
        <v>44707</v>
      </c>
      <c r="H1247" s="10">
        <f t="shared" ca="1" si="81"/>
        <v>0.37639982316811788</v>
      </c>
    </row>
    <row r="1248" spans="2:8" hidden="1" x14ac:dyDescent="0.2">
      <c r="B1248" s="8">
        <v>44708</v>
      </c>
      <c r="C1248" s="9">
        <f t="shared" ca="1" si="78"/>
        <v>17343.849233837082</v>
      </c>
      <c r="D1248" s="9">
        <f t="shared" ca="1" si="80"/>
        <v>36111.076979871141</v>
      </c>
      <c r="E1248" s="10">
        <f t="shared" ca="1" si="79"/>
        <v>6.6801251852503865E-2</v>
      </c>
      <c r="G1248" s="8">
        <v>44708</v>
      </c>
      <c r="H1248" s="10">
        <f t="shared" ca="1" si="81"/>
        <v>0.15490430228716126</v>
      </c>
    </row>
    <row r="1249" spans="2:8" hidden="1" x14ac:dyDescent="0.2">
      <c r="B1249" s="8">
        <v>44709</v>
      </c>
      <c r="C1249" s="9">
        <f t="shared" ca="1" si="78"/>
        <v>11553.231186016321</v>
      </c>
      <c r="D1249" s="9">
        <f t="shared" ca="1" si="80"/>
        <v>20353.751054529486</v>
      </c>
      <c r="E1249" s="10">
        <f t="shared" ca="1" si="79"/>
        <v>8.0873265311501533E-2</v>
      </c>
      <c r="G1249" s="8">
        <v>44709</v>
      </c>
      <c r="H1249" s="10">
        <f t="shared" ca="1" si="81"/>
        <v>0.32998457976277129</v>
      </c>
    </row>
    <row r="1250" spans="2:8" hidden="1" x14ac:dyDescent="0.2">
      <c r="B1250" s="8">
        <v>44710</v>
      </c>
      <c r="C1250" s="9">
        <f t="shared" ca="1" si="78"/>
        <v>16321.297887369943</v>
      </c>
      <c r="D1250" s="9">
        <f t="shared" ca="1" si="80"/>
        <v>19980.862025983675</v>
      </c>
      <c r="E1250" s="10">
        <f t="shared" ca="1" si="79"/>
        <v>0.24132976703641262</v>
      </c>
      <c r="G1250" s="8">
        <v>44710</v>
      </c>
      <c r="H1250" s="10">
        <f t="shared" ca="1" si="81"/>
        <v>0.23010202271839225</v>
      </c>
    </row>
    <row r="1251" spans="2:8" hidden="1" x14ac:dyDescent="0.2">
      <c r="B1251" s="8">
        <v>44711</v>
      </c>
      <c r="C1251" s="9">
        <f t="shared" ca="1" si="78"/>
        <v>12915.33428476564</v>
      </c>
      <c r="D1251" s="9">
        <f t="shared" ca="1" si="80"/>
        <v>29863.892814481336</v>
      </c>
      <c r="E1251" s="10">
        <f t="shared" ca="1" si="79"/>
        <v>0.14964593217346853</v>
      </c>
      <c r="G1251" s="8">
        <v>44711</v>
      </c>
      <c r="H1251" s="10">
        <f t="shared" ca="1" si="81"/>
        <v>0.38351245076113871</v>
      </c>
    </row>
    <row r="1252" spans="2:8" hidden="1" x14ac:dyDescent="0.2">
      <c r="B1252" s="8">
        <v>44712</v>
      </c>
      <c r="C1252" s="9">
        <f t="shared" ca="1" si="78"/>
        <v>11080.636599392004</v>
      </c>
      <c r="D1252" s="9">
        <f t="shared" ca="1" si="80"/>
        <v>16223.333636256366</v>
      </c>
      <c r="E1252" s="10">
        <f t="shared" ca="1" si="79"/>
        <v>9.0617038686655063E-2</v>
      </c>
      <c r="G1252" s="8">
        <v>44712</v>
      </c>
      <c r="H1252" s="10">
        <f t="shared" ca="1" si="81"/>
        <v>0.10883558593094556</v>
      </c>
    </row>
    <row r="1253" spans="2:8" hidden="1" x14ac:dyDescent="0.2">
      <c r="B1253" s="8">
        <v>44713</v>
      </c>
      <c r="C1253" s="9">
        <f t="shared" ca="1" si="78"/>
        <v>13188.325023338351</v>
      </c>
      <c r="D1253" s="9">
        <f t="shared" ca="1" si="80"/>
        <v>20329.137223196198</v>
      </c>
      <c r="E1253" s="10">
        <f t="shared" ca="1" si="79"/>
        <v>8.1367235221962153E-2</v>
      </c>
      <c r="G1253" s="8">
        <v>44713</v>
      </c>
      <c r="H1253" s="10">
        <f t="shared" ca="1" si="81"/>
        <v>9.0366557585505131E-2</v>
      </c>
    </row>
    <row r="1254" spans="2:8" hidden="1" x14ac:dyDescent="0.2">
      <c r="B1254" s="8">
        <v>44714</v>
      </c>
      <c r="C1254" s="9">
        <f t="shared" ca="1" si="78"/>
        <v>10106.517267366227</v>
      </c>
      <c r="D1254" s="9">
        <f t="shared" ca="1" si="80"/>
        <v>19083.056947710975</v>
      </c>
      <c r="E1254" s="10">
        <f t="shared" ca="1" si="79"/>
        <v>0.13143773719037691</v>
      </c>
      <c r="G1254" s="8">
        <v>44714</v>
      </c>
      <c r="H1254" s="10">
        <f t="shared" ca="1" si="81"/>
        <v>0.35980022801573908</v>
      </c>
    </row>
    <row r="1255" spans="2:8" hidden="1" x14ac:dyDescent="0.2">
      <c r="B1255" s="8">
        <v>44715</v>
      </c>
      <c r="C1255" s="9">
        <f t="shared" ca="1" si="78"/>
        <v>16499.191447727957</v>
      </c>
      <c r="D1255" s="9">
        <f t="shared" ca="1" si="80"/>
        <v>30130.513267240382</v>
      </c>
      <c r="E1255" s="10">
        <f t="shared" ca="1" si="79"/>
        <v>0.27286498625652461</v>
      </c>
      <c r="G1255" s="8">
        <v>44715</v>
      </c>
      <c r="H1255" s="10">
        <f t="shared" ca="1" si="81"/>
        <v>0.1556887130449465</v>
      </c>
    </row>
    <row r="1256" spans="2:8" hidden="1" x14ac:dyDescent="0.2">
      <c r="B1256" s="8">
        <v>44716</v>
      </c>
      <c r="C1256" s="9">
        <f t="shared" ca="1" si="78"/>
        <v>10873.999647283517</v>
      </c>
      <c r="D1256" s="9">
        <f t="shared" ca="1" si="80"/>
        <v>36543.678410882188</v>
      </c>
      <c r="E1256" s="10">
        <f t="shared" ca="1" si="79"/>
        <v>6.0910351363490156E-2</v>
      </c>
      <c r="G1256" s="8">
        <v>44716</v>
      </c>
      <c r="H1256" s="10">
        <f t="shared" ca="1" si="81"/>
        <v>9.0509113166595087E-2</v>
      </c>
    </row>
    <row r="1257" spans="2:8" hidden="1" x14ac:dyDescent="0.2">
      <c r="B1257" s="8">
        <v>44717</v>
      </c>
      <c r="C1257" s="9">
        <f t="shared" ca="1" si="78"/>
        <v>13741.694425432372</v>
      </c>
      <c r="D1257" s="9">
        <f t="shared" ca="1" si="80"/>
        <v>34595.140644052539</v>
      </c>
      <c r="E1257" s="10">
        <f t="shared" ca="1" si="79"/>
        <v>0.22314666342441797</v>
      </c>
      <c r="G1257" s="8">
        <v>44717</v>
      </c>
      <c r="H1257" s="10">
        <f t="shared" ca="1" si="81"/>
        <v>0.368710878783026</v>
      </c>
    </row>
    <row r="1258" spans="2:8" hidden="1" x14ac:dyDescent="0.2">
      <c r="B1258" s="8">
        <v>44718</v>
      </c>
      <c r="C1258" s="9">
        <f t="shared" ca="1" si="78"/>
        <v>12377.367880380169</v>
      </c>
      <c r="D1258" s="9">
        <f t="shared" ca="1" si="80"/>
        <v>26568.515477499102</v>
      </c>
      <c r="E1258" s="10">
        <f t="shared" ca="1" si="79"/>
        <v>2.0436354261495492E-2</v>
      </c>
      <c r="G1258" s="8">
        <v>44718</v>
      </c>
      <c r="H1258" s="10">
        <f t="shared" ca="1" si="81"/>
        <v>0.12011695316731025</v>
      </c>
    </row>
    <row r="1259" spans="2:8" hidden="1" x14ac:dyDescent="0.2">
      <c r="B1259" s="8">
        <v>44719</v>
      </c>
      <c r="C1259" s="9">
        <f t="shared" ca="1" si="78"/>
        <v>17477.725954991147</v>
      </c>
      <c r="D1259" s="9">
        <f t="shared" ca="1" si="80"/>
        <v>14608.054581607888</v>
      </c>
      <c r="E1259" s="10">
        <f t="shared" ca="1" si="79"/>
        <v>1.9097875430098353E-2</v>
      </c>
      <c r="G1259" s="8">
        <v>44719</v>
      </c>
      <c r="H1259" s="10">
        <f t="shared" ca="1" si="81"/>
        <v>0.16639739052968774</v>
      </c>
    </row>
    <row r="1260" spans="2:8" hidden="1" x14ac:dyDescent="0.2">
      <c r="B1260" s="8">
        <v>44720</v>
      </c>
      <c r="C1260" s="9">
        <f t="shared" ca="1" si="78"/>
        <v>14891.934640088144</v>
      </c>
      <c r="D1260" s="9">
        <f t="shared" ca="1" si="80"/>
        <v>18649.893714654812</v>
      </c>
      <c r="E1260" s="10">
        <f t="shared" ca="1" si="79"/>
        <v>1.2283380533407317E-2</v>
      </c>
      <c r="G1260" s="8">
        <v>44720</v>
      </c>
      <c r="H1260" s="10">
        <f t="shared" ca="1" si="81"/>
        <v>9.0806500477235166E-2</v>
      </c>
    </row>
    <row r="1261" spans="2:8" hidden="1" x14ac:dyDescent="0.2">
      <c r="B1261" s="8">
        <v>44721</v>
      </c>
      <c r="C1261" s="9">
        <f t="shared" ca="1" si="78"/>
        <v>17854.51213455958</v>
      </c>
      <c r="D1261" s="9">
        <f t="shared" ca="1" si="80"/>
        <v>16387.643975962703</v>
      </c>
      <c r="E1261" s="10">
        <f t="shared" ca="1" si="79"/>
        <v>0.17555873635417396</v>
      </c>
      <c r="G1261" s="8">
        <v>44721</v>
      </c>
      <c r="H1261" s="10">
        <f t="shared" ca="1" si="81"/>
        <v>0.19386885791009034</v>
      </c>
    </row>
    <row r="1262" spans="2:8" hidden="1" x14ac:dyDescent="0.2">
      <c r="B1262" s="8">
        <v>44722</v>
      </c>
      <c r="C1262" s="9">
        <f t="shared" ca="1" si="78"/>
        <v>13877.63826990131</v>
      </c>
      <c r="D1262" s="9">
        <f t="shared" ca="1" si="80"/>
        <v>20900.177474150696</v>
      </c>
      <c r="E1262" s="10">
        <f t="shared" ca="1" si="79"/>
        <v>0.17276268953803339</v>
      </c>
      <c r="G1262" s="8">
        <v>44722</v>
      </c>
      <c r="H1262" s="10">
        <f t="shared" ca="1" si="81"/>
        <v>0.36808417186533443</v>
      </c>
    </row>
    <row r="1263" spans="2:8" hidden="1" x14ac:dyDescent="0.2">
      <c r="B1263" s="8">
        <v>44723</v>
      </c>
      <c r="C1263" s="9">
        <f t="shared" ca="1" si="78"/>
        <v>16890.195188964943</v>
      </c>
      <c r="D1263" s="9">
        <f t="shared" ca="1" si="80"/>
        <v>20735.651100184688</v>
      </c>
      <c r="E1263" s="10">
        <f t="shared" ca="1" si="79"/>
        <v>0.17534542584907106</v>
      </c>
      <c r="G1263" s="8">
        <v>44723</v>
      </c>
      <c r="H1263" s="10">
        <f t="shared" ca="1" si="81"/>
        <v>0.20537555781085781</v>
      </c>
    </row>
    <row r="1264" spans="2:8" hidden="1" x14ac:dyDescent="0.2">
      <c r="B1264" s="8">
        <v>44724</v>
      </c>
      <c r="C1264" s="9">
        <f t="shared" ca="1" si="78"/>
        <v>16734.435755565704</v>
      </c>
      <c r="D1264" s="9">
        <f t="shared" ca="1" si="80"/>
        <v>13120.949601413547</v>
      </c>
      <c r="E1264" s="10">
        <f t="shared" ca="1" si="79"/>
        <v>2.9637031718245208E-2</v>
      </c>
      <c r="G1264" s="8">
        <v>44724</v>
      </c>
      <c r="H1264" s="10">
        <f t="shared" ca="1" si="81"/>
        <v>0.19427691240545703</v>
      </c>
    </row>
    <row r="1265" spans="2:8" hidden="1" x14ac:dyDescent="0.2">
      <c r="B1265" s="8">
        <v>44725</v>
      </c>
      <c r="C1265" s="9">
        <f t="shared" ca="1" si="78"/>
        <v>15755.499271410594</v>
      </c>
      <c r="D1265" s="9">
        <f t="shared" ca="1" si="80"/>
        <v>30872.616999234062</v>
      </c>
      <c r="E1265" s="10">
        <f t="shared" ca="1" si="79"/>
        <v>0.15070749428590549</v>
      </c>
      <c r="G1265" s="8">
        <v>44725</v>
      </c>
      <c r="H1265" s="10">
        <f t="shared" ca="1" si="81"/>
        <v>0.12127084048262091</v>
      </c>
    </row>
    <row r="1266" spans="2:8" hidden="1" x14ac:dyDescent="0.2">
      <c r="B1266" s="8">
        <v>44726</v>
      </c>
      <c r="C1266" s="9">
        <f t="shared" ca="1" si="78"/>
        <v>16158.613565380694</v>
      </c>
      <c r="D1266" s="9">
        <f t="shared" ca="1" si="80"/>
        <v>18071.807900494056</v>
      </c>
      <c r="E1266" s="10">
        <f t="shared" ca="1" si="79"/>
        <v>0.20417372574883183</v>
      </c>
      <c r="G1266" s="8">
        <v>44726</v>
      </c>
      <c r="H1266" s="10">
        <f t="shared" ca="1" si="81"/>
        <v>0.18843863485503662</v>
      </c>
    </row>
    <row r="1267" spans="2:8" hidden="1" x14ac:dyDescent="0.2">
      <c r="B1267" s="8">
        <v>44727</v>
      </c>
      <c r="C1267" s="9">
        <f t="shared" ca="1" si="78"/>
        <v>10241.181036940698</v>
      </c>
      <c r="D1267" s="9">
        <f t="shared" ca="1" si="80"/>
        <v>13549.271792331756</v>
      </c>
      <c r="E1267" s="10">
        <f t="shared" ca="1" si="79"/>
        <v>0.17237528511250019</v>
      </c>
      <c r="G1267" s="8">
        <v>44727</v>
      </c>
      <c r="H1267" s="10">
        <f t="shared" ca="1" si="81"/>
        <v>0.33930928640280511</v>
      </c>
    </row>
    <row r="1268" spans="2:8" hidden="1" x14ac:dyDescent="0.2">
      <c r="B1268" s="8">
        <v>44728</v>
      </c>
      <c r="C1268" s="9">
        <f t="shared" ca="1" si="78"/>
        <v>16433.391302851705</v>
      </c>
      <c r="D1268" s="9">
        <f t="shared" ca="1" si="80"/>
        <v>28176.090446072791</v>
      </c>
      <c r="E1268" s="10">
        <f t="shared" ca="1" si="79"/>
        <v>0.18383949684783116</v>
      </c>
      <c r="G1268" s="8">
        <v>44728</v>
      </c>
      <c r="H1268" s="10">
        <f t="shared" ca="1" si="81"/>
        <v>0.20164891491906034</v>
      </c>
    </row>
    <row r="1269" spans="2:8" hidden="1" x14ac:dyDescent="0.2">
      <c r="B1269" s="8">
        <v>44729</v>
      </c>
      <c r="C1269" s="9">
        <f t="shared" ca="1" si="78"/>
        <v>12119.012057286567</v>
      </c>
      <c r="D1269" s="9">
        <f t="shared" ca="1" si="80"/>
        <v>29193.702982637282</v>
      </c>
      <c r="E1269" s="10">
        <f t="shared" ca="1" si="79"/>
        <v>0.26410996935602865</v>
      </c>
      <c r="G1269" s="8">
        <v>44729</v>
      </c>
      <c r="H1269" s="10">
        <f t="shared" ca="1" si="81"/>
        <v>0.21134071309428265</v>
      </c>
    </row>
    <row r="1270" spans="2:8" hidden="1" x14ac:dyDescent="0.2">
      <c r="B1270" s="8">
        <v>44730</v>
      </c>
      <c r="C1270" s="9">
        <f t="shared" ca="1" si="78"/>
        <v>16172.871054058516</v>
      </c>
      <c r="D1270" s="9">
        <f t="shared" ca="1" si="80"/>
        <v>12335.357420101678</v>
      </c>
      <c r="E1270" s="10">
        <f t="shared" ca="1" si="79"/>
        <v>0.2287369183340234</v>
      </c>
      <c r="G1270" s="8">
        <v>44730</v>
      </c>
      <c r="H1270" s="10">
        <f t="shared" ca="1" si="81"/>
        <v>0.16200604414664418</v>
      </c>
    </row>
    <row r="1271" spans="2:8" hidden="1" x14ac:dyDescent="0.2">
      <c r="B1271" s="8">
        <v>44731</v>
      </c>
      <c r="C1271" s="9">
        <f t="shared" ca="1" si="78"/>
        <v>15151.819244894315</v>
      </c>
      <c r="D1271" s="9">
        <f t="shared" ca="1" si="80"/>
        <v>37056.802380713227</v>
      </c>
      <c r="E1271" s="10">
        <f t="shared" ca="1" si="79"/>
        <v>0.19220773275734865</v>
      </c>
      <c r="G1271" s="8">
        <v>44731</v>
      </c>
      <c r="H1271" s="10">
        <f t="shared" ca="1" si="81"/>
        <v>0.21309500593062297</v>
      </c>
    </row>
    <row r="1272" spans="2:8" hidden="1" x14ac:dyDescent="0.2">
      <c r="B1272" s="8">
        <v>44732</v>
      </c>
      <c r="C1272" s="9">
        <f t="shared" ca="1" si="78"/>
        <v>16815.440473303719</v>
      </c>
      <c r="D1272" s="9">
        <f t="shared" ca="1" si="80"/>
        <v>21857.878701748312</v>
      </c>
      <c r="E1272" s="10">
        <f t="shared" ca="1" si="79"/>
        <v>5.9296599152515839E-2</v>
      </c>
      <c r="G1272" s="8">
        <v>44732</v>
      </c>
      <c r="H1272" s="10">
        <f t="shared" ca="1" si="81"/>
        <v>0.17066819921345425</v>
      </c>
    </row>
    <row r="1273" spans="2:8" hidden="1" x14ac:dyDescent="0.2">
      <c r="B1273" s="8">
        <v>44733</v>
      </c>
      <c r="C1273" s="9">
        <f t="shared" ca="1" si="78"/>
        <v>15503.343022611371</v>
      </c>
      <c r="D1273" s="9">
        <f t="shared" ca="1" si="80"/>
        <v>25805.878949286678</v>
      </c>
      <c r="E1273" s="10">
        <f t="shared" ca="1" si="79"/>
        <v>8.1445686999182768E-2</v>
      </c>
      <c r="G1273" s="8">
        <v>44733</v>
      </c>
      <c r="H1273" s="10">
        <f t="shared" ca="1" si="81"/>
        <v>0.11230353583873828</v>
      </c>
    </row>
    <row r="1274" spans="2:8" hidden="1" x14ac:dyDescent="0.2">
      <c r="B1274" s="8">
        <v>44734</v>
      </c>
      <c r="C1274" s="9">
        <f t="shared" ca="1" si="78"/>
        <v>11535.477757965928</v>
      </c>
      <c r="D1274" s="9">
        <f t="shared" ca="1" si="80"/>
        <v>30189.405226155184</v>
      </c>
      <c r="E1274" s="10">
        <f t="shared" ca="1" si="79"/>
        <v>0.29775489431907015</v>
      </c>
      <c r="G1274" s="8">
        <v>44734</v>
      </c>
      <c r="H1274" s="10">
        <f t="shared" ca="1" si="81"/>
        <v>0.10398116307883708</v>
      </c>
    </row>
    <row r="1275" spans="2:8" hidden="1" x14ac:dyDescent="0.2">
      <c r="B1275" s="8">
        <v>44735</v>
      </c>
      <c r="C1275" s="9">
        <f t="shared" ca="1" si="78"/>
        <v>14996.158450895084</v>
      </c>
      <c r="D1275" s="9">
        <f t="shared" ca="1" si="80"/>
        <v>20279.304426997609</v>
      </c>
      <c r="E1275" s="10">
        <f t="shared" ca="1" si="79"/>
        <v>0.27221379012164582</v>
      </c>
      <c r="G1275" s="8">
        <v>44735</v>
      </c>
      <c r="H1275" s="10">
        <f t="shared" ca="1" si="81"/>
        <v>0.39343941015854211</v>
      </c>
    </row>
    <row r="1276" spans="2:8" hidden="1" x14ac:dyDescent="0.2">
      <c r="B1276" s="8">
        <v>44736</v>
      </c>
      <c r="C1276" s="9">
        <f t="shared" ca="1" si="78"/>
        <v>10122.964230663029</v>
      </c>
      <c r="D1276" s="9">
        <f t="shared" ca="1" si="80"/>
        <v>17954.44559504664</v>
      </c>
      <c r="E1276" s="10">
        <f t="shared" ca="1" si="79"/>
        <v>0.22108942293761488</v>
      </c>
      <c r="G1276" s="8">
        <v>44736</v>
      </c>
      <c r="H1276" s="10">
        <f t="shared" ca="1" si="81"/>
        <v>0.37770962448552214</v>
      </c>
    </row>
    <row r="1277" spans="2:8" hidden="1" x14ac:dyDescent="0.2">
      <c r="B1277" s="8">
        <v>44737</v>
      </c>
      <c r="C1277" s="9">
        <f t="shared" ca="1" si="78"/>
        <v>17224.346441239224</v>
      </c>
      <c r="D1277" s="9">
        <f t="shared" ca="1" si="80"/>
        <v>14476.818196171651</v>
      </c>
      <c r="E1277" s="10">
        <f t="shared" ca="1" si="79"/>
        <v>0.13936670203699822</v>
      </c>
      <c r="G1277" s="8">
        <v>44737</v>
      </c>
      <c r="H1277" s="10">
        <f t="shared" ca="1" si="81"/>
        <v>0.34744050125289927</v>
      </c>
    </row>
    <row r="1278" spans="2:8" hidden="1" x14ac:dyDescent="0.2">
      <c r="B1278" s="8">
        <v>44738</v>
      </c>
      <c r="C1278" s="9">
        <f t="shared" ca="1" si="78"/>
        <v>17649.401139332898</v>
      </c>
      <c r="D1278" s="9">
        <f t="shared" ca="1" si="80"/>
        <v>10012.789180567004</v>
      </c>
      <c r="E1278" s="10">
        <f t="shared" ca="1" si="79"/>
        <v>0.16344929778413719</v>
      </c>
      <c r="G1278" s="8">
        <v>44738</v>
      </c>
      <c r="H1278" s="10">
        <f t="shared" ca="1" si="81"/>
        <v>0.31353364437550441</v>
      </c>
    </row>
    <row r="1279" spans="2:8" hidden="1" x14ac:dyDescent="0.2">
      <c r="B1279" s="8">
        <v>44739</v>
      </c>
      <c r="C1279" s="9">
        <f t="shared" ca="1" si="78"/>
        <v>12883.260199719272</v>
      </c>
      <c r="D1279" s="9">
        <f t="shared" ca="1" si="80"/>
        <v>35395.921662479304</v>
      </c>
      <c r="E1279" s="10">
        <f t="shared" ca="1" si="79"/>
        <v>4.6654196247432052E-4</v>
      </c>
      <c r="G1279" s="8">
        <v>44739</v>
      </c>
      <c r="H1279" s="10">
        <f t="shared" ca="1" si="81"/>
        <v>0.22554917716307649</v>
      </c>
    </row>
    <row r="1280" spans="2:8" hidden="1" x14ac:dyDescent="0.2">
      <c r="B1280" s="8">
        <v>44740</v>
      </c>
      <c r="C1280" s="9">
        <f t="shared" ca="1" si="78"/>
        <v>10867.992056198054</v>
      </c>
      <c r="D1280" s="9">
        <f t="shared" ca="1" si="80"/>
        <v>24873.604728421218</v>
      </c>
      <c r="E1280" s="10">
        <f t="shared" ca="1" si="79"/>
        <v>2.3778488252567075E-2</v>
      </c>
      <c r="G1280" s="8">
        <v>44740</v>
      </c>
      <c r="H1280" s="10">
        <f t="shared" ca="1" si="81"/>
        <v>0.17647384159259016</v>
      </c>
    </row>
    <row r="1281" spans="2:8" hidden="1" x14ac:dyDescent="0.2">
      <c r="B1281" s="8">
        <v>44741</v>
      </c>
      <c r="C1281" s="9">
        <f t="shared" ca="1" si="78"/>
        <v>12206.241295820397</v>
      </c>
      <c r="D1281" s="9">
        <f t="shared" ca="1" si="80"/>
        <v>14913.877386447013</v>
      </c>
      <c r="E1281" s="10">
        <f t="shared" ca="1" si="79"/>
        <v>4.6494277489892266E-2</v>
      </c>
      <c r="G1281" s="8">
        <v>44741</v>
      </c>
      <c r="H1281" s="10">
        <f t="shared" ca="1" si="81"/>
        <v>0.24384954660672442</v>
      </c>
    </row>
    <row r="1282" spans="2:8" hidden="1" x14ac:dyDescent="0.2">
      <c r="B1282" s="8">
        <v>44742</v>
      </c>
      <c r="C1282" s="9">
        <f t="shared" ca="1" si="78"/>
        <v>10055.160661568938</v>
      </c>
      <c r="D1282" s="9">
        <f t="shared" ca="1" si="80"/>
        <v>15011.846013089387</v>
      </c>
      <c r="E1282" s="10">
        <f t="shared" ca="1" si="79"/>
        <v>0.18363553199036958</v>
      </c>
      <c r="G1282" s="8">
        <v>44742</v>
      </c>
      <c r="H1282" s="10">
        <f t="shared" ca="1" si="81"/>
        <v>0.25593422928691073</v>
      </c>
    </row>
    <row r="1283" spans="2:8" hidden="1" x14ac:dyDescent="0.2">
      <c r="B1283" s="8">
        <v>44743</v>
      </c>
      <c r="C1283" s="9">
        <f t="shared" ca="1" si="78"/>
        <v>15122.151406979916</v>
      </c>
      <c r="D1283" s="9">
        <f t="shared" ca="1" si="80"/>
        <v>39705.134824654691</v>
      </c>
      <c r="E1283" s="10">
        <f t="shared" ca="1" si="79"/>
        <v>0.21220277844278934</v>
      </c>
      <c r="G1283" s="8">
        <v>44743</v>
      </c>
      <c r="H1283" s="10">
        <f t="shared" ca="1" si="81"/>
        <v>0.30170010684666543</v>
      </c>
    </row>
    <row r="1284" spans="2:8" hidden="1" x14ac:dyDescent="0.2">
      <c r="B1284" s="8">
        <v>44744</v>
      </c>
      <c r="C1284" s="9">
        <f t="shared" ca="1" si="78"/>
        <v>16658.642499865418</v>
      </c>
      <c r="D1284" s="9">
        <f t="shared" ca="1" si="80"/>
        <v>18285.736925904035</v>
      </c>
      <c r="E1284" s="10">
        <f t="shared" ca="1" si="79"/>
        <v>0.21320225758185538</v>
      </c>
      <c r="G1284" s="8">
        <v>44744</v>
      </c>
      <c r="H1284" s="10">
        <f t="shared" ca="1" si="81"/>
        <v>0.28183779869052655</v>
      </c>
    </row>
    <row r="1285" spans="2:8" hidden="1" x14ac:dyDescent="0.2">
      <c r="B1285" s="8">
        <v>44745</v>
      </c>
      <c r="C1285" s="9">
        <f t="shared" ca="1" si="78"/>
        <v>14586.953907351548</v>
      </c>
      <c r="D1285" s="9">
        <f t="shared" ca="1" si="80"/>
        <v>33704.502576880623</v>
      </c>
      <c r="E1285" s="10">
        <f t="shared" ca="1" si="79"/>
        <v>3.4600547112683677E-3</v>
      </c>
      <c r="G1285" s="8">
        <v>44745</v>
      </c>
      <c r="H1285" s="10">
        <f t="shared" ca="1" si="81"/>
        <v>0.20724442493795475</v>
      </c>
    </row>
    <row r="1286" spans="2:8" hidden="1" x14ac:dyDescent="0.2">
      <c r="B1286" s="8">
        <v>44746</v>
      </c>
      <c r="C1286" s="9">
        <f t="shared" ca="1" si="78"/>
        <v>14849.037947325691</v>
      </c>
      <c r="D1286" s="9">
        <f t="shared" ca="1" si="80"/>
        <v>20999.174382086268</v>
      </c>
      <c r="E1286" s="10">
        <f t="shared" ca="1" si="79"/>
        <v>0.18041104341802866</v>
      </c>
      <c r="G1286" s="8">
        <v>44746</v>
      </c>
      <c r="H1286" s="10">
        <f t="shared" ca="1" si="81"/>
        <v>0.38376061422190205</v>
      </c>
    </row>
    <row r="1287" spans="2:8" hidden="1" x14ac:dyDescent="0.2">
      <c r="B1287" s="8">
        <v>44747</v>
      </c>
      <c r="C1287" s="9">
        <f t="shared" ref="C1287:C1350" ca="1" si="82">RAND()*(18000-10000)+10000</f>
        <v>16335.886619419442</v>
      </c>
      <c r="D1287" s="9">
        <f t="shared" ca="1" si="80"/>
        <v>34293.407670887216</v>
      </c>
      <c r="E1287" s="10">
        <f t="shared" ref="E1287:E1350" ca="1" si="83">RAND()*(30%-0%)+0%</f>
        <v>0.22475521930636741</v>
      </c>
      <c r="G1287" s="8">
        <v>44747</v>
      </c>
      <c r="H1287" s="10">
        <f t="shared" ca="1" si="81"/>
        <v>0.36195923425525728</v>
      </c>
    </row>
    <row r="1288" spans="2:8" hidden="1" x14ac:dyDescent="0.2">
      <c r="B1288" s="8">
        <v>44748</v>
      </c>
      <c r="C1288" s="9">
        <f t="shared" ca="1" si="82"/>
        <v>15526.235551858608</v>
      </c>
      <c r="D1288" s="9">
        <f t="shared" ca="1" si="80"/>
        <v>20778.356360073773</v>
      </c>
      <c r="E1288" s="10">
        <f t="shared" ca="1" si="83"/>
        <v>5.3013032847239537E-2</v>
      </c>
      <c r="G1288" s="8">
        <v>44748</v>
      </c>
      <c r="H1288" s="10">
        <f t="shared" ca="1" si="81"/>
        <v>8.6374910880463174E-2</v>
      </c>
    </row>
    <row r="1289" spans="2:8" hidden="1" x14ac:dyDescent="0.2">
      <c r="B1289" s="8">
        <v>44749</v>
      </c>
      <c r="C1289" s="9">
        <f t="shared" ca="1" si="82"/>
        <v>13534.999857772047</v>
      </c>
      <c r="D1289" s="9">
        <f t="shared" ca="1" si="80"/>
        <v>23023.063782798657</v>
      </c>
      <c r="E1289" s="10">
        <f t="shared" ca="1" si="83"/>
        <v>0.29359435886231544</v>
      </c>
      <c r="G1289" s="8">
        <v>44749</v>
      </c>
      <c r="H1289" s="10">
        <f t="shared" ca="1" si="81"/>
        <v>0.23094261998462978</v>
      </c>
    </row>
    <row r="1290" spans="2:8" hidden="1" x14ac:dyDescent="0.2">
      <c r="B1290" s="8">
        <v>44750</v>
      </c>
      <c r="C1290" s="9">
        <f t="shared" ca="1" si="82"/>
        <v>15707.268565728758</v>
      </c>
      <c r="D1290" s="9">
        <f t="shared" ca="1" si="80"/>
        <v>33229.582835051944</v>
      </c>
      <c r="E1290" s="10">
        <f t="shared" ca="1" si="83"/>
        <v>2.4437779349459485E-2</v>
      </c>
      <c r="G1290" s="8">
        <v>44750</v>
      </c>
      <c r="H1290" s="10">
        <f t="shared" ca="1" si="81"/>
        <v>0.25684988998262809</v>
      </c>
    </row>
    <row r="1291" spans="2:8" hidden="1" x14ac:dyDescent="0.2">
      <c r="B1291" s="8">
        <v>44751</v>
      </c>
      <c r="C1291" s="9">
        <f t="shared" ca="1" si="82"/>
        <v>11252.015271356684</v>
      </c>
      <c r="D1291" s="9">
        <f t="shared" ca="1" si="80"/>
        <v>23963.105911092069</v>
      </c>
      <c r="E1291" s="10">
        <f t="shared" ca="1" si="83"/>
        <v>0.25217171852397835</v>
      </c>
      <c r="G1291" s="8">
        <v>44751</v>
      </c>
      <c r="H1291" s="10">
        <f t="shared" ca="1" si="81"/>
        <v>0.21033779649314688</v>
      </c>
    </row>
    <row r="1292" spans="2:8" hidden="1" x14ac:dyDescent="0.2">
      <c r="B1292" s="8">
        <v>44752</v>
      </c>
      <c r="C1292" s="9">
        <f t="shared" ca="1" si="82"/>
        <v>16244.510136537672</v>
      </c>
      <c r="D1292" s="9">
        <f t="shared" ca="1" si="80"/>
        <v>33017.649062390279</v>
      </c>
      <c r="E1292" s="10">
        <f t="shared" ca="1" si="83"/>
        <v>8.4738338991412254E-2</v>
      </c>
      <c r="G1292" s="8">
        <v>44752</v>
      </c>
      <c r="H1292" s="10">
        <f t="shared" ca="1" si="81"/>
        <v>0.17353134064562756</v>
      </c>
    </row>
    <row r="1293" spans="2:8" hidden="1" x14ac:dyDescent="0.2">
      <c r="B1293" s="8">
        <v>44753</v>
      </c>
      <c r="C1293" s="9">
        <f t="shared" ca="1" si="82"/>
        <v>13766.35468350152</v>
      </c>
      <c r="D1293" s="9">
        <f t="shared" ca="1" si="80"/>
        <v>32014.645430540768</v>
      </c>
      <c r="E1293" s="10">
        <f t="shared" ca="1" si="83"/>
        <v>0.15267076830792375</v>
      </c>
      <c r="G1293" s="8">
        <v>44753</v>
      </c>
      <c r="H1293" s="10">
        <f t="shared" ca="1" si="81"/>
        <v>0.28201297318761015</v>
      </c>
    </row>
    <row r="1294" spans="2:8" hidden="1" x14ac:dyDescent="0.2">
      <c r="B1294" s="8">
        <v>44754</v>
      </c>
      <c r="C1294" s="9">
        <f t="shared" ca="1" si="82"/>
        <v>11071.441820718155</v>
      </c>
      <c r="D1294" s="9">
        <f t="shared" ca="1" si="80"/>
        <v>28963.978176668923</v>
      </c>
      <c r="E1294" s="10">
        <f t="shared" ca="1" si="83"/>
        <v>0.13726933510310363</v>
      </c>
      <c r="G1294" s="8">
        <v>44754</v>
      </c>
      <c r="H1294" s="10">
        <f t="shared" ca="1" si="81"/>
        <v>0.16267221695992171</v>
      </c>
    </row>
    <row r="1295" spans="2:8" hidden="1" x14ac:dyDescent="0.2">
      <c r="B1295" s="8">
        <v>44755</v>
      </c>
      <c r="C1295" s="9">
        <f t="shared" ca="1" si="82"/>
        <v>14219.014985247024</v>
      </c>
      <c r="D1295" s="9">
        <f t="shared" ref="D1295:D1358" ca="1" si="84">RAND()*(40000-10000)+10000</f>
        <v>14945.728832541361</v>
      </c>
      <c r="E1295" s="10">
        <f t="shared" ca="1" si="83"/>
        <v>0.17989454440504685</v>
      </c>
      <c r="G1295" s="8">
        <v>44755</v>
      </c>
      <c r="H1295" s="10">
        <f t="shared" ref="H1295:H1358" ca="1" si="85">RAND()*(40%-8%)+8%</f>
        <v>8.5604284039587641E-2</v>
      </c>
    </row>
    <row r="1296" spans="2:8" hidden="1" x14ac:dyDescent="0.2">
      <c r="B1296" s="8">
        <v>44756</v>
      </c>
      <c r="C1296" s="9">
        <f t="shared" ca="1" si="82"/>
        <v>15809.363404171676</v>
      </c>
      <c r="D1296" s="9">
        <f t="shared" ca="1" si="84"/>
        <v>29141.040865669809</v>
      </c>
      <c r="E1296" s="10">
        <f t="shared" ca="1" si="83"/>
        <v>7.8301945425423458E-2</v>
      </c>
      <c r="G1296" s="8">
        <v>44756</v>
      </c>
      <c r="H1296" s="10">
        <f t="shared" ca="1" si="85"/>
        <v>9.3985730388084401E-2</v>
      </c>
    </row>
    <row r="1297" spans="2:8" hidden="1" x14ac:dyDescent="0.2">
      <c r="B1297" s="8">
        <v>44757</v>
      </c>
      <c r="C1297" s="9">
        <f t="shared" ca="1" si="82"/>
        <v>13971.980969293902</v>
      </c>
      <c r="D1297" s="9">
        <f t="shared" ca="1" si="84"/>
        <v>28155.874656952881</v>
      </c>
      <c r="E1297" s="10">
        <f t="shared" ca="1" si="83"/>
        <v>0.23215539982401939</v>
      </c>
      <c r="G1297" s="8">
        <v>44757</v>
      </c>
      <c r="H1297" s="10">
        <f t="shared" ca="1" si="85"/>
        <v>0.18902052909362832</v>
      </c>
    </row>
    <row r="1298" spans="2:8" hidden="1" x14ac:dyDescent="0.2">
      <c r="B1298" s="8">
        <v>44758</v>
      </c>
      <c r="C1298" s="9">
        <f t="shared" ca="1" si="82"/>
        <v>12266.998255643995</v>
      </c>
      <c r="D1298" s="9">
        <f t="shared" ca="1" si="84"/>
        <v>37815.657959999982</v>
      </c>
      <c r="E1298" s="10">
        <f t="shared" ca="1" si="83"/>
        <v>3.1748210204481174E-2</v>
      </c>
      <c r="G1298" s="8">
        <v>44758</v>
      </c>
      <c r="H1298" s="10">
        <f t="shared" ca="1" si="85"/>
        <v>0.27427951936951706</v>
      </c>
    </row>
    <row r="1299" spans="2:8" hidden="1" x14ac:dyDescent="0.2">
      <c r="B1299" s="8">
        <v>44759</v>
      </c>
      <c r="C1299" s="9">
        <f t="shared" ca="1" si="82"/>
        <v>11350.023319575399</v>
      </c>
      <c r="D1299" s="9">
        <f t="shared" ca="1" si="84"/>
        <v>16717.552353124287</v>
      </c>
      <c r="E1299" s="10">
        <f t="shared" ca="1" si="83"/>
        <v>8.1373221284270991E-2</v>
      </c>
      <c r="G1299" s="8">
        <v>44759</v>
      </c>
      <c r="H1299" s="10">
        <f t="shared" ca="1" si="85"/>
        <v>0.13049691291229201</v>
      </c>
    </row>
    <row r="1300" spans="2:8" hidden="1" x14ac:dyDescent="0.2">
      <c r="B1300" s="8">
        <v>44760</v>
      </c>
      <c r="C1300" s="9">
        <f t="shared" ca="1" si="82"/>
        <v>15861.461554990176</v>
      </c>
      <c r="D1300" s="9">
        <f t="shared" ca="1" si="84"/>
        <v>11724.01088127961</v>
      </c>
      <c r="E1300" s="10">
        <f t="shared" ca="1" si="83"/>
        <v>0.14878042623792143</v>
      </c>
      <c r="G1300" s="8">
        <v>44760</v>
      </c>
      <c r="H1300" s="10">
        <f t="shared" ca="1" si="85"/>
        <v>0.30165102966512825</v>
      </c>
    </row>
    <row r="1301" spans="2:8" hidden="1" x14ac:dyDescent="0.2">
      <c r="B1301" s="8">
        <v>44761</v>
      </c>
      <c r="C1301" s="9">
        <f t="shared" ca="1" si="82"/>
        <v>14351.949516891047</v>
      </c>
      <c r="D1301" s="9">
        <f t="shared" ca="1" si="84"/>
        <v>19287.231961620993</v>
      </c>
      <c r="E1301" s="10">
        <f t="shared" ca="1" si="83"/>
        <v>0.15565303706021999</v>
      </c>
      <c r="G1301" s="8">
        <v>44761</v>
      </c>
      <c r="H1301" s="10">
        <f t="shared" ca="1" si="85"/>
        <v>0.1564624238478553</v>
      </c>
    </row>
    <row r="1302" spans="2:8" hidden="1" x14ac:dyDescent="0.2">
      <c r="B1302" s="8">
        <v>44762</v>
      </c>
      <c r="C1302" s="9">
        <f t="shared" ca="1" si="82"/>
        <v>11927.925467944078</v>
      </c>
      <c r="D1302" s="9">
        <f t="shared" ca="1" si="84"/>
        <v>36544.142461130832</v>
      </c>
      <c r="E1302" s="10">
        <f t="shared" ca="1" si="83"/>
        <v>5.4247143631130791E-2</v>
      </c>
      <c r="G1302" s="8">
        <v>44762</v>
      </c>
      <c r="H1302" s="10">
        <f t="shared" ca="1" si="85"/>
        <v>0.35588275139663661</v>
      </c>
    </row>
    <row r="1303" spans="2:8" hidden="1" x14ac:dyDescent="0.2">
      <c r="B1303" s="8">
        <v>44763</v>
      </c>
      <c r="C1303" s="9">
        <f t="shared" ca="1" si="82"/>
        <v>16415.22756528607</v>
      </c>
      <c r="D1303" s="9">
        <f t="shared" ca="1" si="84"/>
        <v>25252.97152742352</v>
      </c>
      <c r="E1303" s="10">
        <f t="shared" ca="1" si="83"/>
        <v>9.5412669757677676E-2</v>
      </c>
      <c r="G1303" s="8">
        <v>44763</v>
      </c>
      <c r="H1303" s="10">
        <f t="shared" ca="1" si="85"/>
        <v>0.24586863356387278</v>
      </c>
    </row>
    <row r="1304" spans="2:8" hidden="1" x14ac:dyDescent="0.2">
      <c r="B1304" s="8">
        <v>44764</v>
      </c>
      <c r="C1304" s="9">
        <f t="shared" ca="1" si="82"/>
        <v>14880.700729010936</v>
      </c>
      <c r="D1304" s="9">
        <f t="shared" ca="1" si="84"/>
        <v>16580.780835493359</v>
      </c>
      <c r="E1304" s="10">
        <f t="shared" ca="1" si="83"/>
        <v>0.19632129397079809</v>
      </c>
      <c r="G1304" s="8">
        <v>44764</v>
      </c>
      <c r="H1304" s="10">
        <f t="shared" ca="1" si="85"/>
        <v>9.6775803451791556E-2</v>
      </c>
    </row>
    <row r="1305" spans="2:8" hidden="1" x14ac:dyDescent="0.2">
      <c r="B1305" s="8">
        <v>44765</v>
      </c>
      <c r="C1305" s="9">
        <f t="shared" ca="1" si="82"/>
        <v>11202.969931326801</v>
      </c>
      <c r="D1305" s="9">
        <f t="shared" ca="1" si="84"/>
        <v>19808.06274091154</v>
      </c>
      <c r="E1305" s="10">
        <f t="shared" ca="1" si="83"/>
        <v>0.14889646243569274</v>
      </c>
      <c r="G1305" s="8">
        <v>44765</v>
      </c>
      <c r="H1305" s="10">
        <f t="shared" ca="1" si="85"/>
        <v>0.24214808637618246</v>
      </c>
    </row>
    <row r="1306" spans="2:8" hidden="1" x14ac:dyDescent="0.2">
      <c r="B1306" s="8">
        <v>44766</v>
      </c>
      <c r="C1306" s="9">
        <f t="shared" ca="1" si="82"/>
        <v>14061.199038752769</v>
      </c>
      <c r="D1306" s="9">
        <f t="shared" ca="1" si="84"/>
        <v>32203.571049097744</v>
      </c>
      <c r="E1306" s="10">
        <f t="shared" ca="1" si="83"/>
        <v>7.815333837041899E-2</v>
      </c>
      <c r="G1306" s="8">
        <v>44766</v>
      </c>
      <c r="H1306" s="10">
        <f t="shared" ca="1" si="85"/>
        <v>0.34923485627364387</v>
      </c>
    </row>
    <row r="1307" spans="2:8" hidden="1" x14ac:dyDescent="0.2">
      <c r="B1307" s="8">
        <v>44767</v>
      </c>
      <c r="C1307" s="9">
        <f t="shared" ca="1" si="82"/>
        <v>10684.495747374807</v>
      </c>
      <c r="D1307" s="9">
        <f t="shared" ca="1" si="84"/>
        <v>17861.141002646611</v>
      </c>
      <c r="E1307" s="10">
        <f t="shared" ca="1" si="83"/>
        <v>0.16743384196099706</v>
      </c>
      <c r="G1307" s="8">
        <v>44767</v>
      </c>
      <c r="H1307" s="10">
        <f t="shared" ca="1" si="85"/>
        <v>0.34073540486507287</v>
      </c>
    </row>
    <row r="1308" spans="2:8" hidden="1" x14ac:dyDescent="0.2">
      <c r="B1308" s="8">
        <v>44768</v>
      </c>
      <c r="C1308" s="9">
        <f t="shared" ca="1" si="82"/>
        <v>17274.657566190188</v>
      </c>
      <c r="D1308" s="9">
        <f t="shared" ca="1" si="84"/>
        <v>18923.243128730115</v>
      </c>
      <c r="E1308" s="10">
        <f t="shared" ca="1" si="83"/>
        <v>0.13872789472351127</v>
      </c>
      <c r="G1308" s="8">
        <v>44768</v>
      </c>
      <c r="H1308" s="10">
        <f t="shared" ca="1" si="85"/>
        <v>0.1635031657096504</v>
      </c>
    </row>
    <row r="1309" spans="2:8" hidden="1" x14ac:dyDescent="0.2">
      <c r="B1309" s="8">
        <v>44769</v>
      </c>
      <c r="C1309" s="9">
        <f t="shared" ca="1" si="82"/>
        <v>14495.414395717144</v>
      </c>
      <c r="D1309" s="9">
        <f t="shared" ca="1" si="84"/>
        <v>10407.877527955499</v>
      </c>
      <c r="E1309" s="10">
        <f t="shared" ca="1" si="83"/>
        <v>0.17832890146826022</v>
      </c>
      <c r="G1309" s="8">
        <v>44769</v>
      </c>
      <c r="H1309" s="10">
        <f t="shared" ca="1" si="85"/>
        <v>0.18772542067266601</v>
      </c>
    </row>
    <row r="1310" spans="2:8" hidden="1" x14ac:dyDescent="0.2">
      <c r="B1310" s="8">
        <v>44770</v>
      </c>
      <c r="C1310" s="9">
        <f t="shared" ca="1" si="82"/>
        <v>16323.96414396551</v>
      </c>
      <c r="D1310" s="9">
        <f t="shared" ca="1" si="84"/>
        <v>19715.88817648968</v>
      </c>
      <c r="E1310" s="10">
        <f t="shared" ca="1" si="83"/>
        <v>6.9271833222116372E-2</v>
      </c>
      <c r="G1310" s="8">
        <v>44770</v>
      </c>
      <c r="H1310" s="10">
        <f t="shared" ca="1" si="85"/>
        <v>0.39671641216470899</v>
      </c>
    </row>
    <row r="1311" spans="2:8" hidden="1" x14ac:dyDescent="0.2">
      <c r="B1311" s="8">
        <v>44771</v>
      </c>
      <c r="C1311" s="9">
        <f t="shared" ca="1" si="82"/>
        <v>13399.132451197416</v>
      </c>
      <c r="D1311" s="9">
        <f t="shared" ca="1" si="84"/>
        <v>12806.196128670592</v>
      </c>
      <c r="E1311" s="10">
        <f t="shared" ca="1" si="83"/>
        <v>3.2092980871781536E-2</v>
      </c>
      <c r="G1311" s="8">
        <v>44771</v>
      </c>
      <c r="H1311" s="10">
        <f t="shared" ca="1" si="85"/>
        <v>0.11329837448838626</v>
      </c>
    </row>
    <row r="1312" spans="2:8" hidden="1" x14ac:dyDescent="0.2">
      <c r="B1312" s="8">
        <v>44772</v>
      </c>
      <c r="C1312" s="9">
        <f t="shared" ca="1" si="82"/>
        <v>17647.986479244741</v>
      </c>
      <c r="D1312" s="9">
        <f t="shared" ca="1" si="84"/>
        <v>34681.580226766644</v>
      </c>
      <c r="E1312" s="10">
        <f t="shared" ca="1" si="83"/>
        <v>9.1055662792456346E-2</v>
      </c>
      <c r="G1312" s="8">
        <v>44772</v>
      </c>
      <c r="H1312" s="10">
        <f t="shared" ca="1" si="85"/>
        <v>0.37697709662951029</v>
      </c>
    </row>
    <row r="1313" spans="2:8" hidden="1" x14ac:dyDescent="0.2">
      <c r="B1313" s="8">
        <v>44773</v>
      </c>
      <c r="C1313" s="9">
        <f t="shared" ca="1" si="82"/>
        <v>10289.419097565722</v>
      </c>
      <c r="D1313" s="9">
        <f t="shared" ca="1" si="84"/>
        <v>17868.235397902405</v>
      </c>
      <c r="E1313" s="10">
        <f t="shared" ca="1" si="83"/>
        <v>0.27924505003036321</v>
      </c>
      <c r="G1313" s="8">
        <v>44773</v>
      </c>
      <c r="H1313" s="10">
        <f t="shared" ca="1" si="85"/>
        <v>0.29998973513475796</v>
      </c>
    </row>
    <row r="1314" spans="2:8" hidden="1" x14ac:dyDescent="0.2">
      <c r="B1314" s="8">
        <v>44774</v>
      </c>
      <c r="C1314" s="9">
        <f t="shared" ca="1" si="82"/>
        <v>16263.892897594369</v>
      </c>
      <c r="D1314" s="9">
        <f t="shared" ca="1" si="84"/>
        <v>23480.542810421801</v>
      </c>
      <c r="E1314" s="10">
        <f t="shared" ca="1" si="83"/>
        <v>4.9554059552448404E-2</v>
      </c>
      <c r="G1314" s="8">
        <v>44774</v>
      </c>
      <c r="H1314" s="10">
        <f t="shared" ca="1" si="85"/>
        <v>0.10115286504514291</v>
      </c>
    </row>
    <row r="1315" spans="2:8" hidden="1" x14ac:dyDescent="0.2">
      <c r="B1315" s="8">
        <v>44775</v>
      </c>
      <c r="C1315" s="9">
        <f t="shared" ca="1" si="82"/>
        <v>10785.608376162732</v>
      </c>
      <c r="D1315" s="9">
        <f t="shared" ca="1" si="84"/>
        <v>21314.958624228457</v>
      </c>
      <c r="E1315" s="10">
        <f t="shared" ca="1" si="83"/>
        <v>9.7870288446158041E-2</v>
      </c>
      <c r="G1315" s="8">
        <v>44775</v>
      </c>
      <c r="H1315" s="10">
        <f t="shared" ca="1" si="85"/>
        <v>0.12914687046181744</v>
      </c>
    </row>
    <row r="1316" spans="2:8" hidden="1" x14ac:dyDescent="0.2">
      <c r="B1316" s="8">
        <v>44776</v>
      </c>
      <c r="C1316" s="9">
        <f t="shared" ca="1" si="82"/>
        <v>14253.964082055463</v>
      </c>
      <c r="D1316" s="9">
        <f t="shared" ca="1" si="84"/>
        <v>10141.785373188368</v>
      </c>
      <c r="E1316" s="10">
        <f t="shared" ca="1" si="83"/>
        <v>0.18059455052342135</v>
      </c>
      <c r="G1316" s="8">
        <v>44776</v>
      </c>
      <c r="H1316" s="10">
        <f t="shared" ca="1" si="85"/>
        <v>0.10894062119413107</v>
      </c>
    </row>
    <row r="1317" spans="2:8" hidden="1" x14ac:dyDescent="0.2">
      <c r="B1317" s="8">
        <v>44777</v>
      </c>
      <c r="C1317" s="9">
        <f t="shared" ca="1" si="82"/>
        <v>12611.873568236493</v>
      </c>
      <c r="D1317" s="9">
        <f t="shared" ca="1" si="84"/>
        <v>30827.600986262525</v>
      </c>
      <c r="E1317" s="10">
        <f t="shared" ca="1" si="83"/>
        <v>3.7246427405397339E-2</v>
      </c>
      <c r="G1317" s="8">
        <v>44777</v>
      </c>
      <c r="H1317" s="10">
        <f t="shared" ca="1" si="85"/>
        <v>0.14998686501355829</v>
      </c>
    </row>
    <row r="1318" spans="2:8" hidden="1" x14ac:dyDescent="0.2">
      <c r="B1318" s="8">
        <v>44778</v>
      </c>
      <c r="C1318" s="9">
        <f t="shared" ca="1" si="82"/>
        <v>15055.421917726535</v>
      </c>
      <c r="D1318" s="9">
        <f t="shared" ca="1" si="84"/>
        <v>16603.199628566115</v>
      </c>
      <c r="E1318" s="10">
        <f t="shared" ca="1" si="83"/>
        <v>0.29235132555615095</v>
      </c>
      <c r="G1318" s="8">
        <v>44778</v>
      </c>
      <c r="H1318" s="10">
        <f t="shared" ca="1" si="85"/>
        <v>0.13742998430550502</v>
      </c>
    </row>
    <row r="1319" spans="2:8" hidden="1" x14ac:dyDescent="0.2">
      <c r="B1319" s="8">
        <v>44779</v>
      </c>
      <c r="C1319" s="9">
        <f t="shared" ca="1" si="82"/>
        <v>11774.208346354028</v>
      </c>
      <c r="D1319" s="9">
        <f t="shared" ca="1" si="84"/>
        <v>38682.233213454936</v>
      </c>
      <c r="E1319" s="10">
        <f t="shared" ca="1" si="83"/>
        <v>9.1455771351231868E-2</v>
      </c>
      <c r="G1319" s="8">
        <v>44779</v>
      </c>
      <c r="H1319" s="10">
        <f t="shared" ca="1" si="85"/>
        <v>0.1148021975516923</v>
      </c>
    </row>
    <row r="1320" spans="2:8" hidden="1" x14ac:dyDescent="0.2">
      <c r="B1320" s="8">
        <v>44780</v>
      </c>
      <c r="C1320" s="9">
        <f t="shared" ca="1" si="82"/>
        <v>14382.491324754741</v>
      </c>
      <c r="D1320" s="9">
        <f t="shared" ca="1" si="84"/>
        <v>38511.612755077374</v>
      </c>
      <c r="E1320" s="10">
        <f t="shared" ca="1" si="83"/>
        <v>0.16330831987730041</v>
      </c>
      <c r="G1320" s="8">
        <v>44780</v>
      </c>
      <c r="H1320" s="10">
        <f t="shared" ca="1" si="85"/>
        <v>0.25149428599842155</v>
      </c>
    </row>
    <row r="1321" spans="2:8" hidden="1" x14ac:dyDescent="0.2">
      <c r="B1321" s="8">
        <v>44781</v>
      </c>
      <c r="C1321" s="9">
        <f t="shared" ca="1" si="82"/>
        <v>16447.004085142533</v>
      </c>
      <c r="D1321" s="9">
        <f t="shared" ca="1" si="84"/>
        <v>21065.6569728334</v>
      </c>
      <c r="E1321" s="10">
        <f t="shared" ca="1" si="83"/>
        <v>5.9969239126910323E-2</v>
      </c>
      <c r="G1321" s="8">
        <v>44781</v>
      </c>
      <c r="H1321" s="10">
        <f t="shared" ca="1" si="85"/>
        <v>0.3278881998330655</v>
      </c>
    </row>
    <row r="1322" spans="2:8" hidden="1" x14ac:dyDescent="0.2">
      <c r="B1322" s="8">
        <v>44782</v>
      </c>
      <c r="C1322" s="9">
        <f t="shared" ca="1" si="82"/>
        <v>12456.152947726549</v>
      </c>
      <c r="D1322" s="9">
        <f t="shared" ca="1" si="84"/>
        <v>11790.742419532644</v>
      </c>
      <c r="E1322" s="10">
        <f t="shared" ca="1" si="83"/>
        <v>2.3003221763835013E-2</v>
      </c>
      <c r="G1322" s="8">
        <v>44782</v>
      </c>
      <c r="H1322" s="10">
        <f t="shared" ca="1" si="85"/>
        <v>0.16891178199714169</v>
      </c>
    </row>
    <row r="1323" spans="2:8" hidden="1" x14ac:dyDescent="0.2">
      <c r="B1323" s="8">
        <v>44783</v>
      </c>
      <c r="C1323" s="9">
        <f t="shared" ca="1" si="82"/>
        <v>12642.958386943654</v>
      </c>
      <c r="D1323" s="9">
        <f t="shared" ca="1" si="84"/>
        <v>34706.723203570022</v>
      </c>
      <c r="E1323" s="10">
        <f t="shared" ca="1" si="83"/>
        <v>0.28023648667110684</v>
      </c>
      <c r="G1323" s="8">
        <v>44783</v>
      </c>
      <c r="H1323" s="10">
        <f t="shared" ca="1" si="85"/>
        <v>0.3119010149037853</v>
      </c>
    </row>
    <row r="1324" spans="2:8" hidden="1" x14ac:dyDescent="0.2">
      <c r="B1324" s="8">
        <v>44784</v>
      </c>
      <c r="C1324" s="9">
        <f t="shared" ca="1" si="82"/>
        <v>15687.299995599475</v>
      </c>
      <c r="D1324" s="9">
        <f t="shared" ca="1" si="84"/>
        <v>35846.957057201158</v>
      </c>
      <c r="E1324" s="10">
        <f t="shared" ca="1" si="83"/>
        <v>0.24667463297937725</v>
      </c>
      <c r="G1324" s="8">
        <v>44784</v>
      </c>
      <c r="H1324" s="10">
        <f t="shared" ca="1" si="85"/>
        <v>0.2869267228897926</v>
      </c>
    </row>
    <row r="1325" spans="2:8" hidden="1" x14ac:dyDescent="0.2">
      <c r="B1325" s="8">
        <v>44785</v>
      </c>
      <c r="C1325" s="9">
        <f t="shared" ca="1" si="82"/>
        <v>10103.318440537007</v>
      </c>
      <c r="D1325" s="9">
        <f t="shared" ca="1" si="84"/>
        <v>37693.571914602806</v>
      </c>
      <c r="E1325" s="10">
        <f t="shared" ca="1" si="83"/>
        <v>0.22165730748891527</v>
      </c>
      <c r="G1325" s="8">
        <v>44785</v>
      </c>
      <c r="H1325" s="10">
        <f t="shared" ca="1" si="85"/>
        <v>0.32146028660627501</v>
      </c>
    </row>
    <row r="1326" spans="2:8" hidden="1" x14ac:dyDescent="0.2">
      <c r="B1326" s="8">
        <v>44786</v>
      </c>
      <c r="C1326" s="9">
        <f t="shared" ca="1" si="82"/>
        <v>17081.486556596425</v>
      </c>
      <c r="D1326" s="9">
        <f t="shared" ca="1" si="84"/>
        <v>39224.97223133126</v>
      </c>
      <c r="E1326" s="10">
        <f t="shared" ca="1" si="83"/>
        <v>0.25491938343833481</v>
      </c>
      <c r="G1326" s="8">
        <v>44786</v>
      </c>
      <c r="H1326" s="10">
        <f t="shared" ca="1" si="85"/>
        <v>0.28027126684813825</v>
      </c>
    </row>
    <row r="1327" spans="2:8" hidden="1" x14ac:dyDescent="0.2">
      <c r="B1327" s="8">
        <v>44787</v>
      </c>
      <c r="C1327" s="9">
        <f t="shared" ca="1" si="82"/>
        <v>14603.638274321453</v>
      </c>
      <c r="D1327" s="9">
        <f t="shared" ca="1" si="84"/>
        <v>33996.674521851164</v>
      </c>
      <c r="E1327" s="10">
        <f t="shared" ca="1" si="83"/>
        <v>0.16492768100344865</v>
      </c>
      <c r="G1327" s="8">
        <v>44787</v>
      </c>
      <c r="H1327" s="10">
        <f t="shared" ca="1" si="85"/>
        <v>0.17976227990813365</v>
      </c>
    </row>
    <row r="1328" spans="2:8" hidden="1" x14ac:dyDescent="0.2">
      <c r="B1328" s="8">
        <v>44788</v>
      </c>
      <c r="C1328" s="9">
        <f t="shared" ca="1" si="82"/>
        <v>15975.763257335837</v>
      </c>
      <c r="D1328" s="9">
        <f t="shared" ca="1" si="84"/>
        <v>23900.723523544479</v>
      </c>
      <c r="E1328" s="10">
        <f t="shared" ca="1" si="83"/>
        <v>5.0200769661375232E-2</v>
      </c>
      <c r="G1328" s="8">
        <v>44788</v>
      </c>
      <c r="H1328" s="10">
        <f t="shared" ca="1" si="85"/>
        <v>0.30893899925385992</v>
      </c>
    </row>
    <row r="1329" spans="2:8" hidden="1" x14ac:dyDescent="0.2">
      <c r="B1329" s="8">
        <v>44789</v>
      </c>
      <c r="C1329" s="9">
        <f t="shared" ca="1" si="82"/>
        <v>11533.959294608041</v>
      </c>
      <c r="D1329" s="9">
        <f t="shared" ca="1" si="84"/>
        <v>19258.623922020233</v>
      </c>
      <c r="E1329" s="10">
        <f t="shared" ca="1" si="83"/>
        <v>5.5037311712714289E-2</v>
      </c>
      <c r="G1329" s="8">
        <v>44789</v>
      </c>
      <c r="H1329" s="10">
        <f t="shared" ca="1" si="85"/>
        <v>0.1482857282824297</v>
      </c>
    </row>
    <row r="1330" spans="2:8" hidden="1" x14ac:dyDescent="0.2">
      <c r="B1330" s="8">
        <v>44790</v>
      </c>
      <c r="C1330" s="9">
        <f t="shared" ca="1" si="82"/>
        <v>10293.557226945899</v>
      </c>
      <c r="D1330" s="9">
        <f t="shared" ca="1" si="84"/>
        <v>20742.556399544414</v>
      </c>
      <c r="E1330" s="10">
        <f t="shared" ca="1" si="83"/>
        <v>3.2587022806809064E-2</v>
      </c>
      <c r="G1330" s="8">
        <v>44790</v>
      </c>
      <c r="H1330" s="10">
        <f t="shared" ca="1" si="85"/>
        <v>0.27811036330210614</v>
      </c>
    </row>
    <row r="1331" spans="2:8" hidden="1" x14ac:dyDescent="0.2">
      <c r="B1331" s="8">
        <v>44791</v>
      </c>
      <c r="C1331" s="9">
        <f t="shared" ca="1" si="82"/>
        <v>14534.768363416733</v>
      </c>
      <c r="D1331" s="9">
        <f t="shared" ca="1" si="84"/>
        <v>29253.354086962579</v>
      </c>
      <c r="E1331" s="10">
        <f t="shared" ca="1" si="83"/>
        <v>0.1768131347522294</v>
      </c>
      <c r="G1331" s="8">
        <v>44791</v>
      </c>
      <c r="H1331" s="10">
        <f t="shared" ca="1" si="85"/>
        <v>0.18800492888377807</v>
      </c>
    </row>
    <row r="1332" spans="2:8" hidden="1" x14ac:dyDescent="0.2">
      <c r="B1332" s="8">
        <v>44792</v>
      </c>
      <c r="C1332" s="9">
        <f t="shared" ca="1" si="82"/>
        <v>17768.079581754355</v>
      </c>
      <c r="D1332" s="9">
        <f t="shared" ca="1" si="84"/>
        <v>16813.980326454952</v>
      </c>
      <c r="E1332" s="10">
        <f t="shared" ca="1" si="83"/>
        <v>0.21253251092235678</v>
      </c>
      <c r="G1332" s="8">
        <v>44792</v>
      </c>
      <c r="H1332" s="10">
        <f t="shared" ca="1" si="85"/>
        <v>0.1035118043091201</v>
      </c>
    </row>
    <row r="1333" spans="2:8" hidden="1" x14ac:dyDescent="0.2">
      <c r="B1333" s="8">
        <v>44793</v>
      </c>
      <c r="C1333" s="9">
        <f t="shared" ca="1" si="82"/>
        <v>11109.296028594739</v>
      </c>
      <c r="D1333" s="9">
        <f t="shared" ca="1" si="84"/>
        <v>34688.858425419705</v>
      </c>
      <c r="E1333" s="10">
        <f t="shared" ca="1" si="83"/>
        <v>1.4745692934380383E-2</v>
      </c>
      <c r="G1333" s="8">
        <v>44793</v>
      </c>
      <c r="H1333" s="10">
        <f t="shared" ca="1" si="85"/>
        <v>0.32748992049478537</v>
      </c>
    </row>
    <row r="1334" spans="2:8" hidden="1" x14ac:dyDescent="0.2">
      <c r="B1334" s="8">
        <v>44794</v>
      </c>
      <c r="C1334" s="9">
        <f t="shared" ca="1" si="82"/>
        <v>14050.182397171231</v>
      </c>
      <c r="D1334" s="9">
        <f t="shared" ca="1" si="84"/>
        <v>14584.092381174676</v>
      </c>
      <c r="E1334" s="10">
        <f t="shared" ca="1" si="83"/>
        <v>0.11220114506325418</v>
      </c>
      <c r="G1334" s="8">
        <v>44794</v>
      </c>
      <c r="H1334" s="10">
        <f t="shared" ca="1" si="85"/>
        <v>0.37688670001403762</v>
      </c>
    </row>
    <row r="1335" spans="2:8" hidden="1" x14ac:dyDescent="0.2">
      <c r="B1335" s="8">
        <v>44795</v>
      </c>
      <c r="C1335" s="9">
        <f t="shared" ca="1" si="82"/>
        <v>12167.78948804133</v>
      </c>
      <c r="D1335" s="9">
        <f t="shared" ca="1" si="84"/>
        <v>11075.059300124762</v>
      </c>
      <c r="E1335" s="10">
        <f t="shared" ca="1" si="83"/>
        <v>1.3937119078030812E-2</v>
      </c>
      <c r="G1335" s="8">
        <v>44795</v>
      </c>
      <c r="H1335" s="10">
        <f t="shared" ca="1" si="85"/>
        <v>0.19132687014181016</v>
      </c>
    </row>
    <row r="1336" spans="2:8" hidden="1" x14ac:dyDescent="0.2">
      <c r="B1336" s="8">
        <v>44796</v>
      </c>
      <c r="C1336" s="9">
        <f t="shared" ca="1" si="82"/>
        <v>17441.78158280046</v>
      </c>
      <c r="D1336" s="9">
        <f t="shared" ca="1" si="84"/>
        <v>19853.661782358118</v>
      </c>
      <c r="E1336" s="10">
        <f t="shared" ca="1" si="83"/>
        <v>0.14668159101681824</v>
      </c>
      <c r="G1336" s="8">
        <v>44796</v>
      </c>
      <c r="H1336" s="10">
        <f t="shared" ca="1" si="85"/>
        <v>0.22568339934361809</v>
      </c>
    </row>
    <row r="1337" spans="2:8" hidden="1" x14ac:dyDescent="0.2">
      <c r="B1337" s="8">
        <v>44797</v>
      </c>
      <c r="C1337" s="9">
        <f t="shared" ca="1" si="82"/>
        <v>11336.142302641611</v>
      </c>
      <c r="D1337" s="9">
        <f t="shared" ca="1" si="84"/>
        <v>17323.37356670712</v>
      </c>
      <c r="E1337" s="10">
        <f t="shared" ca="1" si="83"/>
        <v>0.12940598721782257</v>
      </c>
      <c r="G1337" s="8">
        <v>44797</v>
      </c>
      <c r="H1337" s="10">
        <f t="shared" ca="1" si="85"/>
        <v>0.295110461694927</v>
      </c>
    </row>
    <row r="1338" spans="2:8" hidden="1" x14ac:dyDescent="0.2">
      <c r="B1338" s="8">
        <v>44798</v>
      </c>
      <c r="C1338" s="9">
        <f t="shared" ca="1" si="82"/>
        <v>10650.505886552148</v>
      </c>
      <c r="D1338" s="9">
        <f t="shared" ca="1" si="84"/>
        <v>16419.737891039622</v>
      </c>
      <c r="E1338" s="10">
        <f t="shared" ca="1" si="83"/>
        <v>9.1240492786127378E-2</v>
      </c>
      <c r="G1338" s="8">
        <v>44798</v>
      </c>
      <c r="H1338" s="10">
        <f t="shared" ca="1" si="85"/>
        <v>0.15421364468075918</v>
      </c>
    </row>
    <row r="1339" spans="2:8" hidden="1" x14ac:dyDescent="0.2">
      <c r="B1339" s="8">
        <v>44799</v>
      </c>
      <c r="C1339" s="9">
        <f t="shared" ca="1" si="82"/>
        <v>10147.404922074867</v>
      </c>
      <c r="D1339" s="9">
        <f t="shared" ca="1" si="84"/>
        <v>27169.511168385983</v>
      </c>
      <c r="E1339" s="10">
        <f t="shared" ca="1" si="83"/>
        <v>0.24343496632915396</v>
      </c>
      <c r="G1339" s="8">
        <v>44799</v>
      </c>
      <c r="H1339" s="10">
        <f t="shared" ca="1" si="85"/>
        <v>0.31631376917612242</v>
      </c>
    </row>
    <row r="1340" spans="2:8" hidden="1" x14ac:dyDescent="0.2">
      <c r="B1340" s="8">
        <v>44800</v>
      </c>
      <c r="C1340" s="9">
        <f t="shared" ca="1" si="82"/>
        <v>10071.358956759337</v>
      </c>
      <c r="D1340" s="9">
        <f t="shared" ca="1" si="84"/>
        <v>10985.29651666483</v>
      </c>
      <c r="E1340" s="10">
        <f t="shared" ca="1" si="83"/>
        <v>0.18649641069091416</v>
      </c>
      <c r="G1340" s="8">
        <v>44800</v>
      </c>
      <c r="H1340" s="10">
        <f t="shared" ca="1" si="85"/>
        <v>0.24232870079034641</v>
      </c>
    </row>
    <row r="1341" spans="2:8" hidden="1" x14ac:dyDescent="0.2">
      <c r="B1341" s="8">
        <v>44801</v>
      </c>
      <c r="C1341" s="9">
        <f t="shared" ca="1" si="82"/>
        <v>13499.506198723939</v>
      </c>
      <c r="D1341" s="9">
        <f t="shared" ca="1" si="84"/>
        <v>24234.299325603748</v>
      </c>
      <c r="E1341" s="10">
        <f t="shared" ca="1" si="83"/>
        <v>0.13600898389443242</v>
      </c>
      <c r="G1341" s="8">
        <v>44801</v>
      </c>
      <c r="H1341" s="10">
        <f t="shared" ca="1" si="85"/>
        <v>9.2946380456065653E-2</v>
      </c>
    </row>
    <row r="1342" spans="2:8" hidden="1" x14ac:dyDescent="0.2">
      <c r="B1342" s="8">
        <v>44802</v>
      </c>
      <c r="C1342" s="9">
        <f t="shared" ca="1" si="82"/>
        <v>11384.821061158096</v>
      </c>
      <c r="D1342" s="9">
        <f t="shared" ca="1" si="84"/>
        <v>39131.419553524975</v>
      </c>
      <c r="E1342" s="10">
        <f t="shared" ca="1" si="83"/>
        <v>0.25949328256038662</v>
      </c>
      <c r="G1342" s="8">
        <v>44802</v>
      </c>
      <c r="H1342" s="10">
        <f t="shared" ca="1" si="85"/>
        <v>0.18979245800349442</v>
      </c>
    </row>
    <row r="1343" spans="2:8" hidden="1" x14ac:dyDescent="0.2">
      <c r="B1343" s="8">
        <v>44803</v>
      </c>
      <c r="C1343" s="9">
        <f t="shared" ca="1" si="82"/>
        <v>13601.633998037621</v>
      </c>
      <c r="D1343" s="9">
        <f t="shared" ca="1" si="84"/>
        <v>26030.955069280102</v>
      </c>
      <c r="E1343" s="10">
        <f t="shared" ca="1" si="83"/>
        <v>9.6372088033392658E-2</v>
      </c>
      <c r="G1343" s="8">
        <v>44803</v>
      </c>
      <c r="H1343" s="10">
        <f t="shared" ca="1" si="85"/>
        <v>0.34373429205796152</v>
      </c>
    </row>
    <row r="1344" spans="2:8" hidden="1" x14ac:dyDescent="0.2">
      <c r="B1344" s="8">
        <v>44804</v>
      </c>
      <c r="C1344" s="9">
        <f t="shared" ca="1" si="82"/>
        <v>13317.363165527615</v>
      </c>
      <c r="D1344" s="9">
        <f t="shared" ca="1" si="84"/>
        <v>24455.70381387162</v>
      </c>
      <c r="E1344" s="10">
        <f t="shared" ca="1" si="83"/>
        <v>0.15526493440095954</v>
      </c>
      <c r="G1344" s="8">
        <v>44804</v>
      </c>
      <c r="H1344" s="10">
        <f t="shared" ca="1" si="85"/>
        <v>0.15216481179094604</v>
      </c>
    </row>
    <row r="1345" spans="2:8" hidden="1" x14ac:dyDescent="0.2">
      <c r="B1345" s="8">
        <v>44805</v>
      </c>
      <c r="C1345" s="9">
        <f t="shared" ca="1" si="82"/>
        <v>17186.238672007439</v>
      </c>
      <c r="D1345" s="9">
        <f t="shared" ca="1" si="84"/>
        <v>20210.476115432804</v>
      </c>
      <c r="E1345" s="10">
        <f t="shared" ca="1" si="83"/>
        <v>1.2852304891163213E-2</v>
      </c>
      <c r="G1345" s="8">
        <v>44805</v>
      </c>
      <c r="H1345" s="10">
        <f t="shared" ca="1" si="85"/>
        <v>0.33465713772044692</v>
      </c>
    </row>
    <row r="1346" spans="2:8" hidden="1" x14ac:dyDescent="0.2">
      <c r="B1346" s="8">
        <v>44806</v>
      </c>
      <c r="C1346" s="9">
        <f t="shared" ca="1" si="82"/>
        <v>10912.903526152702</v>
      </c>
      <c r="D1346" s="9">
        <f t="shared" ca="1" si="84"/>
        <v>39799.107018198134</v>
      </c>
      <c r="E1346" s="10">
        <f t="shared" ca="1" si="83"/>
        <v>0.26111119817261502</v>
      </c>
      <c r="G1346" s="8">
        <v>44806</v>
      </c>
      <c r="H1346" s="10">
        <f t="shared" ca="1" si="85"/>
        <v>0.32438495574657772</v>
      </c>
    </row>
    <row r="1347" spans="2:8" hidden="1" x14ac:dyDescent="0.2">
      <c r="B1347" s="8">
        <v>44807</v>
      </c>
      <c r="C1347" s="9">
        <f t="shared" ca="1" si="82"/>
        <v>16197.593549183184</v>
      </c>
      <c r="D1347" s="9">
        <f t="shared" ca="1" si="84"/>
        <v>29246.65117637123</v>
      </c>
      <c r="E1347" s="10">
        <f t="shared" ca="1" si="83"/>
        <v>6.7331133872022719E-2</v>
      </c>
      <c r="G1347" s="8">
        <v>44807</v>
      </c>
      <c r="H1347" s="10">
        <f t="shared" ca="1" si="85"/>
        <v>0.18815927128423893</v>
      </c>
    </row>
    <row r="1348" spans="2:8" hidden="1" x14ac:dyDescent="0.2">
      <c r="B1348" s="8">
        <v>44808</v>
      </c>
      <c r="C1348" s="9">
        <f t="shared" ca="1" si="82"/>
        <v>11399.671794421052</v>
      </c>
      <c r="D1348" s="9">
        <f t="shared" ca="1" si="84"/>
        <v>11538.046190883351</v>
      </c>
      <c r="E1348" s="10">
        <f t="shared" ca="1" si="83"/>
        <v>0.26241392302264122</v>
      </c>
      <c r="G1348" s="8">
        <v>44808</v>
      </c>
      <c r="H1348" s="10">
        <f t="shared" ca="1" si="85"/>
        <v>0.17049250081813327</v>
      </c>
    </row>
    <row r="1349" spans="2:8" hidden="1" x14ac:dyDescent="0.2">
      <c r="B1349" s="8">
        <v>44809</v>
      </c>
      <c r="C1349" s="9">
        <f t="shared" ca="1" si="82"/>
        <v>14087.594753387797</v>
      </c>
      <c r="D1349" s="9">
        <f t="shared" ca="1" si="84"/>
        <v>11381.055548936185</v>
      </c>
      <c r="E1349" s="10">
        <f t="shared" ca="1" si="83"/>
        <v>0.20464093069112102</v>
      </c>
      <c r="G1349" s="8">
        <v>44809</v>
      </c>
      <c r="H1349" s="10">
        <f t="shared" ca="1" si="85"/>
        <v>0.24515309441445238</v>
      </c>
    </row>
    <row r="1350" spans="2:8" hidden="1" x14ac:dyDescent="0.2">
      <c r="B1350" s="8">
        <v>44810</v>
      </c>
      <c r="C1350" s="9">
        <f t="shared" ca="1" si="82"/>
        <v>11547.115542590094</v>
      </c>
      <c r="D1350" s="9">
        <f t="shared" ca="1" si="84"/>
        <v>16727.959237491821</v>
      </c>
      <c r="E1350" s="10">
        <f t="shared" ca="1" si="83"/>
        <v>0.13903237497040713</v>
      </c>
      <c r="G1350" s="8">
        <v>44810</v>
      </c>
      <c r="H1350" s="10">
        <f t="shared" ca="1" si="85"/>
        <v>0.18683869913496259</v>
      </c>
    </row>
    <row r="1351" spans="2:8" hidden="1" x14ac:dyDescent="0.2">
      <c r="B1351" s="8">
        <v>44811</v>
      </c>
      <c r="C1351" s="9">
        <f t="shared" ref="C1351:C1414" ca="1" si="86">RAND()*(18000-10000)+10000</f>
        <v>15836.695874361365</v>
      </c>
      <c r="D1351" s="9">
        <f t="shared" ca="1" si="84"/>
        <v>17686.396314946767</v>
      </c>
      <c r="E1351" s="10">
        <f t="shared" ref="E1351:E1414" ca="1" si="87">RAND()*(30%-0%)+0%</f>
        <v>4.9141631284203298E-2</v>
      </c>
      <c r="G1351" s="8">
        <v>44811</v>
      </c>
      <c r="H1351" s="10">
        <f t="shared" ca="1" si="85"/>
        <v>0.33140065589925449</v>
      </c>
    </row>
    <row r="1352" spans="2:8" hidden="1" x14ac:dyDescent="0.2">
      <c r="B1352" s="8">
        <v>44812</v>
      </c>
      <c r="C1352" s="9">
        <f t="shared" ca="1" si="86"/>
        <v>12822.91863261885</v>
      </c>
      <c r="D1352" s="9">
        <f t="shared" ca="1" si="84"/>
        <v>14241.302473869178</v>
      </c>
      <c r="E1352" s="10">
        <f t="shared" ca="1" si="87"/>
        <v>0.23300541755303467</v>
      </c>
      <c r="G1352" s="8">
        <v>44812</v>
      </c>
      <c r="H1352" s="10">
        <f t="shared" ca="1" si="85"/>
        <v>0.37333452694646518</v>
      </c>
    </row>
    <row r="1353" spans="2:8" hidden="1" x14ac:dyDescent="0.2">
      <c r="B1353" s="8">
        <v>44813</v>
      </c>
      <c r="C1353" s="9">
        <f t="shared" ca="1" si="86"/>
        <v>12637.83835467941</v>
      </c>
      <c r="D1353" s="9">
        <f t="shared" ca="1" si="84"/>
        <v>10075.988042662118</v>
      </c>
      <c r="E1353" s="10">
        <f t="shared" ca="1" si="87"/>
        <v>2.8270795920058309E-2</v>
      </c>
      <c r="G1353" s="8">
        <v>44813</v>
      </c>
      <c r="H1353" s="10">
        <f t="shared" ca="1" si="85"/>
        <v>0.17872616051798609</v>
      </c>
    </row>
    <row r="1354" spans="2:8" hidden="1" x14ac:dyDescent="0.2">
      <c r="B1354" s="8">
        <v>44814</v>
      </c>
      <c r="C1354" s="9">
        <f t="shared" ca="1" si="86"/>
        <v>10761.624568969897</v>
      </c>
      <c r="D1354" s="9">
        <f t="shared" ca="1" si="84"/>
        <v>10585.421789755917</v>
      </c>
      <c r="E1354" s="10">
        <f t="shared" ca="1" si="87"/>
        <v>8.053176545763803E-2</v>
      </c>
      <c r="G1354" s="8">
        <v>44814</v>
      </c>
      <c r="H1354" s="10">
        <f t="shared" ca="1" si="85"/>
        <v>0.13471243650654544</v>
      </c>
    </row>
    <row r="1355" spans="2:8" hidden="1" x14ac:dyDescent="0.2">
      <c r="B1355" s="8">
        <v>44815</v>
      </c>
      <c r="C1355" s="9">
        <f t="shared" ca="1" si="86"/>
        <v>14830.16843052323</v>
      </c>
      <c r="D1355" s="9">
        <f t="shared" ca="1" si="84"/>
        <v>36369.84909659229</v>
      </c>
      <c r="E1355" s="10">
        <f t="shared" ca="1" si="87"/>
        <v>3.0219486263676886E-2</v>
      </c>
      <c r="G1355" s="8">
        <v>44815</v>
      </c>
      <c r="H1355" s="10">
        <f t="shared" ca="1" si="85"/>
        <v>0.29231748691622245</v>
      </c>
    </row>
    <row r="1356" spans="2:8" hidden="1" x14ac:dyDescent="0.2">
      <c r="B1356" s="8">
        <v>44816</v>
      </c>
      <c r="C1356" s="9">
        <f t="shared" ca="1" si="86"/>
        <v>10059.203929795933</v>
      </c>
      <c r="D1356" s="9">
        <f t="shared" ca="1" si="84"/>
        <v>37837.89714426305</v>
      </c>
      <c r="E1356" s="10">
        <f t="shared" ca="1" si="87"/>
        <v>0.25447930244953992</v>
      </c>
      <c r="G1356" s="8">
        <v>44816</v>
      </c>
      <c r="H1356" s="10">
        <f t="shared" ca="1" si="85"/>
        <v>0.17669345891853117</v>
      </c>
    </row>
    <row r="1357" spans="2:8" hidden="1" x14ac:dyDescent="0.2">
      <c r="B1357" s="8">
        <v>44817</v>
      </c>
      <c r="C1357" s="9">
        <f t="shared" ca="1" si="86"/>
        <v>16028.487717819738</v>
      </c>
      <c r="D1357" s="9">
        <f t="shared" ca="1" si="84"/>
        <v>10399.746236831217</v>
      </c>
      <c r="E1357" s="10">
        <f t="shared" ca="1" si="87"/>
        <v>4.1750319775638166E-2</v>
      </c>
      <c r="G1357" s="8">
        <v>44817</v>
      </c>
      <c r="H1357" s="10">
        <f t="shared" ca="1" si="85"/>
        <v>0.14319070884689492</v>
      </c>
    </row>
    <row r="1358" spans="2:8" hidden="1" x14ac:dyDescent="0.2">
      <c r="B1358" s="8">
        <v>44818</v>
      </c>
      <c r="C1358" s="9">
        <f t="shared" ca="1" si="86"/>
        <v>11041.939791098506</v>
      </c>
      <c r="D1358" s="9">
        <f t="shared" ca="1" si="84"/>
        <v>20985.683168686097</v>
      </c>
      <c r="E1358" s="10">
        <f t="shared" ca="1" si="87"/>
        <v>6.4556668449400625E-2</v>
      </c>
      <c r="G1358" s="8">
        <v>44818</v>
      </c>
      <c r="H1358" s="10">
        <f t="shared" ca="1" si="85"/>
        <v>0.15042830433056903</v>
      </c>
    </row>
    <row r="1359" spans="2:8" hidden="1" x14ac:dyDescent="0.2">
      <c r="B1359" s="8">
        <v>44819</v>
      </c>
      <c r="C1359" s="9">
        <f t="shared" ca="1" si="86"/>
        <v>10756.657478740404</v>
      </c>
      <c r="D1359" s="9">
        <f t="shared" ref="D1359:D1422" ca="1" si="88">RAND()*(40000-10000)+10000</f>
        <v>20511.345029866588</v>
      </c>
      <c r="E1359" s="10">
        <f t="shared" ca="1" si="87"/>
        <v>0.13574455661854143</v>
      </c>
      <c r="G1359" s="8">
        <v>44819</v>
      </c>
      <c r="H1359" s="10">
        <f t="shared" ref="H1359:H1422" ca="1" si="89">RAND()*(40%-8%)+8%</f>
        <v>0.36471385230970627</v>
      </c>
    </row>
    <row r="1360" spans="2:8" hidden="1" x14ac:dyDescent="0.2">
      <c r="B1360" s="8">
        <v>44820</v>
      </c>
      <c r="C1360" s="9">
        <f t="shared" ca="1" si="86"/>
        <v>16607.535145251211</v>
      </c>
      <c r="D1360" s="9">
        <f t="shared" ca="1" si="88"/>
        <v>16976.14880053751</v>
      </c>
      <c r="E1360" s="10">
        <f t="shared" ca="1" si="87"/>
        <v>0.24910452674452704</v>
      </c>
      <c r="G1360" s="8">
        <v>44820</v>
      </c>
      <c r="H1360" s="10">
        <f t="shared" ca="1" si="89"/>
        <v>0.26350838365591961</v>
      </c>
    </row>
    <row r="1361" spans="2:8" hidden="1" x14ac:dyDescent="0.2">
      <c r="B1361" s="8">
        <v>44821</v>
      </c>
      <c r="C1361" s="9">
        <f t="shared" ca="1" si="86"/>
        <v>17485.873548189855</v>
      </c>
      <c r="D1361" s="9">
        <f t="shared" ca="1" si="88"/>
        <v>29305.488036555318</v>
      </c>
      <c r="E1361" s="10">
        <f t="shared" ca="1" si="87"/>
        <v>0.27364187102780846</v>
      </c>
      <c r="G1361" s="8">
        <v>44821</v>
      </c>
      <c r="H1361" s="10">
        <f t="shared" ca="1" si="89"/>
        <v>0.11852089926128145</v>
      </c>
    </row>
    <row r="1362" spans="2:8" hidden="1" x14ac:dyDescent="0.2">
      <c r="B1362" s="8">
        <v>44822</v>
      </c>
      <c r="C1362" s="9">
        <f t="shared" ca="1" si="86"/>
        <v>12374.851658855485</v>
      </c>
      <c r="D1362" s="9">
        <f t="shared" ca="1" si="88"/>
        <v>32137.395751917888</v>
      </c>
      <c r="E1362" s="10">
        <f t="shared" ca="1" si="87"/>
        <v>0.20104919978403424</v>
      </c>
      <c r="G1362" s="8">
        <v>44822</v>
      </c>
      <c r="H1362" s="10">
        <f t="shared" ca="1" si="89"/>
        <v>0.16978852793883889</v>
      </c>
    </row>
    <row r="1363" spans="2:8" hidden="1" x14ac:dyDescent="0.2">
      <c r="B1363" s="8">
        <v>44823</v>
      </c>
      <c r="C1363" s="9">
        <f t="shared" ca="1" si="86"/>
        <v>10169.910665466979</v>
      </c>
      <c r="D1363" s="9">
        <f t="shared" ca="1" si="88"/>
        <v>35457.874523425024</v>
      </c>
      <c r="E1363" s="10">
        <f t="shared" ca="1" si="87"/>
        <v>0.20433185801363579</v>
      </c>
      <c r="G1363" s="8">
        <v>44823</v>
      </c>
      <c r="H1363" s="10">
        <f t="shared" ca="1" si="89"/>
        <v>0.25631009029519503</v>
      </c>
    </row>
    <row r="1364" spans="2:8" hidden="1" x14ac:dyDescent="0.2">
      <c r="B1364" s="8">
        <v>44824</v>
      </c>
      <c r="C1364" s="9">
        <f t="shared" ca="1" si="86"/>
        <v>13911.714848426614</v>
      </c>
      <c r="D1364" s="9">
        <f t="shared" ca="1" si="88"/>
        <v>37461.370155446079</v>
      </c>
      <c r="E1364" s="10">
        <f t="shared" ca="1" si="87"/>
        <v>1.0482927558883259E-2</v>
      </c>
      <c r="G1364" s="8">
        <v>44824</v>
      </c>
      <c r="H1364" s="10">
        <f t="shared" ca="1" si="89"/>
        <v>0.13138219973626125</v>
      </c>
    </row>
    <row r="1365" spans="2:8" hidden="1" x14ac:dyDescent="0.2">
      <c r="B1365" s="8">
        <v>44825</v>
      </c>
      <c r="C1365" s="9">
        <f t="shared" ca="1" si="86"/>
        <v>11914.651295073851</v>
      </c>
      <c r="D1365" s="9">
        <f t="shared" ca="1" si="88"/>
        <v>32749.53724637887</v>
      </c>
      <c r="E1365" s="10">
        <f t="shared" ca="1" si="87"/>
        <v>0.25620569171561786</v>
      </c>
      <c r="G1365" s="8">
        <v>44825</v>
      </c>
      <c r="H1365" s="10">
        <f t="shared" ca="1" si="89"/>
        <v>0.3831317460336503</v>
      </c>
    </row>
    <row r="1366" spans="2:8" hidden="1" x14ac:dyDescent="0.2">
      <c r="B1366" s="8">
        <v>44826</v>
      </c>
      <c r="C1366" s="9">
        <f t="shared" ca="1" si="86"/>
        <v>11899.724034205081</v>
      </c>
      <c r="D1366" s="9">
        <f t="shared" ca="1" si="88"/>
        <v>25715.187758530898</v>
      </c>
      <c r="E1366" s="10">
        <f t="shared" ca="1" si="87"/>
        <v>4.2454918725350475E-2</v>
      </c>
      <c r="G1366" s="8">
        <v>44826</v>
      </c>
      <c r="H1366" s="10">
        <f t="shared" ca="1" si="89"/>
        <v>0.13898935402432297</v>
      </c>
    </row>
    <row r="1367" spans="2:8" hidden="1" x14ac:dyDescent="0.2">
      <c r="B1367" s="8">
        <v>44827</v>
      </c>
      <c r="C1367" s="9">
        <f t="shared" ca="1" si="86"/>
        <v>10719.902910194738</v>
      </c>
      <c r="D1367" s="9">
        <f t="shared" ca="1" si="88"/>
        <v>30395.975491939014</v>
      </c>
      <c r="E1367" s="10">
        <f t="shared" ca="1" si="87"/>
        <v>0.16734743339499217</v>
      </c>
      <c r="G1367" s="8">
        <v>44827</v>
      </c>
      <c r="H1367" s="10">
        <f t="shared" ca="1" si="89"/>
        <v>0.1573456310389377</v>
      </c>
    </row>
    <row r="1368" spans="2:8" hidden="1" x14ac:dyDescent="0.2">
      <c r="B1368" s="8">
        <v>44828</v>
      </c>
      <c r="C1368" s="9">
        <f t="shared" ca="1" si="86"/>
        <v>15424.425402654546</v>
      </c>
      <c r="D1368" s="9">
        <f t="shared" ca="1" si="88"/>
        <v>16591.044195171642</v>
      </c>
      <c r="E1368" s="10">
        <f t="shared" ca="1" si="87"/>
        <v>0.17926932284058864</v>
      </c>
      <c r="G1368" s="8">
        <v>44828</v>
      </c>
      <c r="H1368" s="10">
        <f t="shared" ca="1" si="89"/>
        <v>0.14958328445787089</v>
      </c>
    </row>
    <row r="1369" spans="2:8" hidden="1" x14ac:dyDescent="0.2">
      <c r="B1369" s="8">
        <v>44829</v>
      </c>
      <c r="C1369" s="9">
        <f t="shared" ca="1" si="86"/>
        <v>11318.517674934526</v>
      </c>
      <c r="D1369" s="9">
        <f t="shared" ca="1" si="88"/>
        <v>24675.715762664633</v>
      </c>
      <c r="E1369" s="10">
        <f t="shared" ca="1" si="87"/>
        <v>0.14171735443810293</v>
      </c>
      <c r="G1369" s="8">
        <v>44829</v>
      </c>
      <c r="H1369" s="10">
        <f t="shared" ca="1" si="89"/>
        <v>0.16324572257064027</v>
      </c>
    </row>
    <row r="1370" spans="2:8" hidden="1" x14ac:dyDescent="0.2">
      <c r="B1370" s="8">
        <v>44830</v>
      </c>
      <c r="C1370" s="9">
        <f t="shared" ca="1" si="86"/>
        <v>12874.652425603781</v>
      </c>
      <c r="D1370" s="9">
        <f t="shared" ca="1" si="88"/>
        <v>19323.0182765184</v>
      </c>
      <c r="E1370" s="10">
        <f t="shared" ca="1" si="87"/>
        <v>0.16974661239821073</v>
      </c>
      <c r="G1370" s="8">
        <v>44830</v>
      </c>
      <c r="H1370" s="10">
        <f t="shared" ca="1" si="89"/>
        <v>0.2811527426604693</v>
      </c>
    </row>
    <row r="1371" spans="2:8" hidden="1" x14ac:dyDescent="0.2">
      <c r="B1371" s="8">
        <v>44831</v>
      </c>
      <c r="C1371" s="9">
        <f t="shared" ca="1" si="86"/>
        <v>15550.12654305157</v>
      </c>
      <c r="D1371" s="9">
        <f t="shared" ca="1" si="88"/>
        <v>10003.971140543625</v>
      </c>
      <c r="E1371" s="10">
        <f t="shared" ca="1" si="87"/>
        <v>6.6383573810775059E-2</v>
      </c>
      <c r="G1371" s="8">
        <v>44831</v>
      </c>
      <c r="H1371" s="10">
        <f t="shared" ca="1" si="89"/>
        <v>8.8748890339877179E-2</v>
      </c>
    </row>
    <row r="1372" spans="2:8" hidden="1" x14ac:dyDescent="0.2">
      <c r="B1372" s="8">
        <v>44832</v>
      </c>
      <c r="C1372" s="9">
        <f t="shared" ca="1" si="86"/>
        <v>11085.334179740843</v>
      </c>
      <c r="D1372" s="9">
        <f t="shared" ca="1" si="88"/>
        <v>39367.035102366179</v>
      </c>
      <c r="E1372" s="10">
        <f t="shared" ca="1" si="87"/>
        <v>2.3779868245695713E-2</v>
      </c>
      <c r="G1372" s="8">
        <v>44832</v>
      </c>
      <c r="H1372" s="10">
        <f t="shared" ca="1" si="89"/>
        <v>0.39062705529212383</v>
      </c>
    </row>
    <row r="1373" spans="2:8" hidden="1" x14ac:dyDescent="0.2">
      <c r="B1373" s="8">
        <v>44833</v>
      </c>
      <c r="C1373" s="9">
        <f t="shared" ca="1" si="86"/>
        <v>12246.024769173793</v>
      </c>
      <c r="D1373" s="9">
        <f t="shared" ca="1" si="88"/>
        <v>16873.627170726657</v>
      </c>
      <c r="E1373" s="10">
        <f t="shared" ca="1" si="87"/>
        <v>0.12365100611464333</v>
      </c>
      <c r="G1373" s="8">
        <v>44833</v>
      </c>
      <c r="H1373" s="10">
        <f t="shared" ca="1" si="89"/>
        <v>0.37617654378429166</v>
      </c>
    </row>
    <row r="1374" spans="2:8" hidden="1" x14ac:dyDescent="0.2">
      <c r="B1374" s="8">
        <v>44834</v>
      </c>
      <c r="C1374" s="9">
        <f t="shared" ca="1" si="86"/>
        <v>15377.560943328284</v>
      </c>
      <c r="D1374" s="9">
        <f t="shared" ca="1" si="88"/>
        <v>21441.506199142459</v>
      </c>
      <c r="E1374" s="10">
        <f t="shared" ca="1" si="87"/>
        <v>0.26754731945606891</v>
      </c>
      <c r="G1374" s="8">
        <v>44834</v>
      </c>
      <c r="H1374" s="10">
        <f t="shared" ca="1" si="89"/>
        <v>0.26194898618439266</v>
      </c>
    </row>
    <row r="1375" spans="2:8" hidden="1" x14ac:dyDescent="0.2">
      <c r="B1375" s="8">
        <v>44835</v>
      </c>
      <c r="C1375" s="9">
        <f t="shared" ca="1" si="86"/>
        <v>17970.905536771996</v>
      </c>
      <c r="D1375" s="9">
        <f t="shared" ca="1" si="88"/>
        <v>24651.485667276189</v>
      </c>
      <c r="E1375" s="10">
        <f t="shared" ca="1" si="87"/>
        <v>6.6021910470658293E-2</v>
      </c>
      <c r="G1375" s="8">
        <v>44835</v>
      </c>
      <c r="H1375" s="10">
        <f t="shared" ca="1" si="89"/>
        <v>0.13221513884437372</v>
      </c>
    </row>
    <row r="1376" spans="2:8" hidden="1" x14ac:dyDescent="0.2">
      <c r="B1376" s="8">
        <v>44836</v>
      </c>
      <c r="C1376" s="9">
        <f t="shared" ca="1" si="86"/>
        <v>16646.019787370678</v>
      </c>
      <c r="D1376" s="9">
        <f t="shared" ca="1" si="88"/>
        <v>11866.407305834837</v>
      </c>
      <c r="E1376" s="10">
        <f t="shared" ca="1" si="87"/>
        <v>0.25341441383332114</v>
      </c>
      <c r="G1376" s="8">
        <v>44836</v>
      </c>
      <c r="H1376" s="10">
        <f t="shared" ca="1" si="89"/>
        <v>0.10267814456152011</v>
      </c>
    </row>
    <row r="1377" spans="2:8" hidden="1" x14ac:dyDescent="0.2">
      <c r="B1377" s="8">
        <v>44837</v>
      </c>
      <c r="C1377" s="9">
        <f t="shared" ca="1" si="86"/>
        <v>17433.927375860858</v>
      </c>
      <c r="D1377" s="9">
        <f t="shared" ca="1" si="88"/>
        <v>39428.955305689553</v>
      </c>
      <c r="E1377" s="10">
        <f t="shared" ca="1" si="87"/>
        <v>9.3072400108208983E-2</v>
      </c>
      <c r="G1377" s="8">
        <v>44837</v>
      </c>
      <c r="H1377" s="10">
        <f t="shared" ca="1" si="89"/>
        <v>0.23662910236498791</v>
      </c>
    </row>
    <row r="1378" spans="2:8" hidden="1" x14ac:dyDescent="0.2">
      <c r="B1378" s="8">
        <v>44838</v>
      </c>
      <c r="C1378" s="9">
        <f t="shared" ca="1" si="86"/>
        <v>14246.947134536544</v>
      </c>
      <c r="D1378" s="9">
        <f t="shared" ca="1" si="88"/>
        <v>38715.323946730241</v>
      </c>
      <c r="E1378" s="10">
        <f t="shared" ca="1" si="87"/>
        <v>0.28437563443655339</v>
      </c>
      <c r="G1378" s="8">
        <v>44838</v>
      </c>
      <c r="H1378" s="10">
        <f t="shared" ca="1" si="89"/>
        <v>0.27806775698761238</v>
      </c>
    </row>
    <row r="1379" spans="2:8" hidden="1" x14ac:dyDescent="0.2">
      <c r="B1379" s="8">
        <v>44839</v>
      </c>
      <c r="C1379" s="9">
        <f t="shared" ca="1" si="86"/>
        <v>12307.583621995253</v>
      </c>
      <c r="D1379" s="9">
        <f t="shared" ca="1" si="88"/>
        <v>11878.087317107234</v>
      </c>
      <c r="E1379" s="10">
        <f t="shared" ca="1" si="87"/>
        <v>0.20453387234555509</v>
      </c>
      <c r="G1379" s="8">
        <v>44839</v>
      </c>
      <c r="H1379" s="10">
        <f t="shared" ca="1" si="89"/>
        <v>9.2009947165059322E-2</v>
      </c>
    </row>
    <row r="1380" spans="2:8" hidden="1" x14ac:dyDescent="0.2">
      <c r="B1380" s="8">
        <v>44840</v>
      </c>
      <c r="C1380" s="9">
        <f t="shared" ca="1" si="86"/>
        <v>12059.92512843093</v>
      </c>
      <c r="D1380" s="9">
        <f t="shared" ca="1" si="88"/>
        <v>20020.996568075545</v>
      </c>
      <c r="E1380" s="10">
        <f t="shared" ca="1" si="87"/>
        <v>0.2312728194923151</v>
      </c>
      <c r="G1380" s="8">
        <v>44840</v>
      </c>
      <c r="H1380" s="10">
        <f t="shared" ca="1" si="89"/>
        <v>0.34732714689266209</v>
      </c>
    </row>
    <row r="1381" spans="2:8" hidden="1" x14ac:dyDescent="0.2">
      <c r="B1381" s="8">
        <v>44841</v>
      </c>
      <c r="C1381" s="9">
        <f t="shared" ca="1" si="86"/>
        <v>10080.249711095734</v>
      </c>
      <c r="D1381" s="9">
        <f t="shared" ca="1" si="88"/>
        <v>15417.900887678272</v>
      </c>
      <c r="E1381" s="10">
        <f t="shared" ca="1" si="87"/>
        <v>0.29084946917159615</v>
      </c>
      <c r="G1381" s="8">
        <v>44841</v>
      </c>
      <c r="H1381" s="10">
        <f t="shared" ca="1" si="89"/>
        <v>0.32570645542012311</v>
      </c>
    </row>
    <row r="1382" spans="2:8" hidden="1" x14ac:dyDescent="0.2">
      <c r="B1382" s="8">
        <v>44842</v>
      </c>
      <c r="C1382" s="9">
        <f t="shared" ca="1" si="86"/>
        <v>12813.563613980456</v>
      </c>
      <c r="D1382" s="9">
        <f t="shared" ca="1" si="88"/>
        <v>33576.095089108843</v>
      </c>
      <c r="E1382" s="10">
        <f t="shared" ca="1" si="87"/>
        <v>5.7349770429783072E-2</v>
      </c>
      <c r="G1382" s="8">
        <v>44842</v>
      </c>
      <c r="H1382" s="10">
        <f t="shared" ca="1" si="89"/>
        <v>0.20037614912974322</v>
      </c>
    </row>
    <row r="1383" spans="2:8" hidden="1" x14ac:dyDescent="0.2">
      <c r="B1383" s="8">
        <v>44843</v>
      </c>
      <c r="C1383" s="9">
        <f t="shared" ca="1" si="86"/>
        <v>12053.935599980958</v>
      </c>
      <c r="D1383" s="9">
        <f t="shared" ca="1" si="88"/>
        <v>15788.845594073331</v>
      </c>
      <c r="E1383" s="10">
        <f t="shared" ca="1" si="87"/>
        <v>0.21745325072323765</v>
      </c>
      <c r="G1383" s="8">
        <v>44843</v>
      </c>
      <c r="H1383" s="10">
        <f t="shared" ca="1" si="89"/>
        <v>0.1876462620718708</v>
      </c>
    </row>
    <row r="1384" spans="2:8" hidden="1" x14ac:dyDescent="0.2">
      <c r="B1384" s="8">
        <v>44844</v>
      </c>
      <c r="C1384" s="9">
        <f t="shared" ca="1" si="86"/>
        <v>14669.038825575492</v>
      </c>
      <c r="D1384" s="9">
        <f t="shared" ca="1" si="88"/>
        <v>22539.913192074011</v>
      </c>
      <c r="E1384" s="10">
        <f t="shared" ca="1" si="87"/>
        <v>0.27891565807747165</v>
      </c>
      <c r="G1384" s="8">
        <v>44844</v>
      </c>
      <c r="H1384" s="10">
        <f t="shared" ca="1" si="89"/>
        <v>0.27874989428924674</v>
      </c>
    </row>
    <row r="1385" spans="2:8" hidden="1" x14ac:dyDescent="0.2">
      <c r="B1385" s="8">
        <v>44845</v>
      </c>
      <c r="C1385" s="9">
        <f t="shared" ca="1" si="86"/>
        <v>17927.896849571425</v>
      </c>
      <c r="D1385" s="9">
        <f t="shared" ca="1" si="88"/>
        <v>19669.560693571584</v>
      </c>
      <c r="E1385" s="10">
        <f t="shared" ca="1" si="87"/>
        <v>0.27337276344502354</v>
      </c>
      <c r="G1385" s="8">
        <v>44845</v>
      </c>
      <c r="H1385" s="10">
        <f t="shared" ca="1" si="89"/>
        <v>0.21248816954835176</v>
      </c>
    </row>
    <row r="1386" spans="2:8" hidden="1" x14ac:dyDescent="0.2">
      <c r="B1386" s="8">
        <v>44846</v>
      </c>
      <c r="C1386" s="9">
        <f t="shared" ca="1" si="86"/>
        <v>10259.18236455735</v>
      </c>
      <c r="D1386" s="9">
        <f t="shared" ca="1" si="88"/>
        <v>30864.051390850567</v>
      </c>
      <c r="E1386" s="10">
        <f t="shared" ca="1" si="87"/>
        <v>3.3214828278882148E-2</v>
      </c>
      <c r="G1386" s="8">
        <v>44846</v>
      </c>
      <c r="H1386" s="10">
        <f t="shared" ca="1" si="89"/>
        <v>0.16325032273624135</v>
      </c>
    </row>
    <row r="1387" spans="2:8" hidden="1" x14ac:dyDescent="0.2">
      <c r="B1387" s="8">
        <v>44847</v>
      </c>
      <c r="C1387" s="9">
        <f t="shared" ca="1" si="86"/>
        <v>11916.158343980087</v>
      </c>
      <c r="D1387" s="9">
        <f t="shared" ca="1" si="88"/>
        <v>29020.597670258721</v>
      </c>
      <c r="E1387" s="10">
        <f t="shared" ca="1" si="87"/>
        <v>0.22317756408209508</v>
      </c>
      <c r="G1387" s="8">
        <v>44847</v>
      </c>
      <c r="H1387" s="10">
        <f t="shared" ca="1" si="89"/>
        <v>0.27192388156381514</v>
      </c>
    </row>
    <row r="1388" spans="2:8" hidden="1" x14ac:dyDescent="0.2">
      <c r="B1388" s="8">
        <v>44848</v>
      </c>
      <c r="C1388" s="9">
        <f t="shared" ca="1" si="86"/>
        <v>16246.533664622719</v>
      </c>
      <c r="D1388" s="9">
        <f t="shared" ca="1" si="88"/>
        <v>20971.301908741778</v>
      </c>
      <c r="E1388" s="10">
        <f t="shared" ca="1" si="87"/>
        <v>4.1903184890991714E-2</v>
      </c>
      <c r="G1388" s="8">
        <v>44848</v>
      </c>
      <c r="H1388" s="10">
        <f t="shared" ca="1" si="89"/>
        <v>0.34388550665099193</v>
      </c>
    </row>
    <row r="1389" spans="2:8" hidden="1" x14ac:dyDescent="0.2">
      <c r="B1389" s="8">
        <v>44849</v>
      </c>
      <c r="C1389" s="9">
        <f t="shared" ca="1" si="86"/>
        <v>16160.493262082946</v>
      </c>
      <c r="D1389" s="9">
        <f t="shared" ca="1" si="88"/>
        <v>31563.833023816253</v>
      </c>
      <c r="E1389" s="10">
        <f t="shared" ca="1" si="87"/>
        <v>0.11647879311714633</v>
      </c>
      <c r="G1389" s="8">
        <v>44849</v>
      </c>
      <c r="H1389" s="10">
        <f t="shared" ca="1" si="89"/>
        <v>0.28900001776571171</v>
      </c>
    </row>
    <row r="1390" spans="2:8" hidden="1" x14ac:dyDescent="0.2">
      <c r="B1390" s="8">
        <v>44850</v>
      </c>
      <c r="C1390" s="9">
        <f t="shared" ca="1" si="86"/>
        <v>15368.448099047258</v>
      </c>
      <c r="D1390" s="9">
        <f t="shared" ca="1" si="88"/>
        <v>37353.51198677432</v>
      </c>
      <c r="E1390" s="10">
        <f t="shared" ca="1" si="87"/>
        <v>0.29188314971022444</v>
      </c>
      <c r="G1390" s="8">
        <v>44850</v>
      </c>
      <c r="H1390" s="10">
        <f t="shared" ca="1" si="89"/>
        <v>0.39461786624745648</v>
      </c>
    </row>
    <row r="1391" spans="2:8" hidden="1" x14ac:dyDescent="0.2">
      <c r="B1391" s="8">
        <v>44851</v>
      </c>
      <c r="C1391" s="9">
        <f t="shared" ca="1" si="86"/>
        <v>10578.070661172209</v>
      </c>
      <c r="D1391" s="9">
        <f t="shared" ca="1" si="88"/>
        <v>28468.917146575877</v>
      </c>
      <c r="E1391" s="10">
        <f t="shared" ca="1" si="87"/>
        <v>0.21164939871621605</v>
      </c>
      <c r="G1391" s="8">
        <v>44851</v>
      </c>
      <c r="H1391" s="10">
        <f t="shared" ca="1" si="89"/>
        <v>0.21094525598165803</v>
      </c>
    </row>
    <row r="1392" spans="2:8" hidden="1" x14ac:dyDescent="0.2">
      <c r="B1392" s="8">
        <v>44852</v>
      </c>
      <c r="C1392" s="9">
        <f t="shared" ca="1" si="86"/>
        <v>16068.57201911186</v>
      </c>
      <c r="D1392" s="9">
        <f t="shared" ca="1" si="88"/>
        <v>18887.024238855112</v>
      </c>
      <c r="E1392" s="10">
        <f t="shared" ca="1" si="87"/>
        <v>3.2259433242280651E-2</v>
      </c>
      <c r="G1392" s="8">
        <v>44852</v>
      </c>
      <c r="H1392" s="10">
        <f t="shared" ca="1" si="89"/>
        <v>8.3644366167483636E-2</v>
      </c>
    </row>
    <row r="1393" spans="2:8" hidden="1" x14ac:dyDescent="0.2">
      <c r="B1393" s="8">
        <v>44853</v>
      </c>
      <c r="C1393" s="9">
        <f t="shared" ca="1" si="86"/>
        <v>16859.770205256595</v>
      </c>
      <c r="D1393" s="9">
        <f t="shared" ca="1" si="88"/>
        <v>24211.872166082765</v>
      </c>
      <c r="E1393" s="10">
        <f t="shared" ca="1" si="87"/>
        <v>0.23849329964777793</v>
      </c>
      <c r="G1393" s="8">
        <v>44853</v>
      </c>
      <c r="H1393" s="10">
        <f t="shared" ca="1" si="89"/>
        <v>0.17817899188083697</v>
      </c>
    </row>
    <row r="1394" spans="2:8" hidden="1" x14ac:dyDescent="0.2">
      <c r="B1394" s="8">
        <v>44854</v>
      </c>
      <c r="C1394" s="9">
        <f t="shared" ca="1" si="86"/>
        <v>10737.634775265433</v>
      </c>
      <c r="D1394" s="9">
        <f t="shared" ca="1" si="88"/>
        <v>13809.526325051196</v>
      </c>
      <c r="E1394" s="10">
        <f t="shared" ca="1" si="87"/>
        <v>0.27701735875481653</v>
      </c>
      <c r="G1394" s="8">
        <v>44854</v>
      </c>
      <c r="H1394" s="10">
        <f t="shared" ca="1" si="89"/>
        <v>0.29367355020435548</v>
      </c>
    </row>
    <row r="1395" spans="2:8" hidden="1" x14ac:dyDescent="0.2">
      <c r="B1395" s="8">
        <v>44855</v>
      </c>
      <c r="C1395" s="9">
        <f t="shared" ca="1" si="86"/>
        <v>15109.690668857987</v>
      </c>
      <c r="D1395" s="9">
        <f t="shared" ca="1" si="88"/>
        <v>18833.83202052422</v>
      </c>
      <c r="E1395" s="10">
        <f t="shared" ca="1" si="87"/>
        <v>0.29599544369203096</v>
      </c>
      <c r="G1395" s="8">
        <v>44855</v>
      </c>
      <c r="H1395" s="10">
        <f t="shared" ca="1" si="89"/>
        <v>0.27813680768554139</v>
      </c>
    </row>
    <row r="1396" spans="2:8" hidden="1" x14ac:dyDescent="0.2">
      <c r="B1396" s="8">
        <v>44856</v>
      </c>
      <c r="C1396" s="9">
        <f t="shared" ca="1" si="86"/>
        <v>15800.9674848629</v>
      </c>
      <c r="D1396" s="9">
        <f t="shared" ca="1" si="88"/>
        <v>13114.351110740819</v>
      </c>
      <c r="E1396" s="10">
        <f t="shared" ca="1" si="87"/>
        <v>3.165676662223281E-2</v>
      </c>
      <c r="G1396" s="8">
        <v>44856</v>
      </c>
      <c r="H1396" s="10">
        <f t="shared" ca="1" si="89"/>
        <v>0.39542680086857307</v>
      </c>
    </row>
    <row r="1397" spans="2:8" hidden="1" x14ac:dyDescent="0.2">
      <c r="B1397" s="8">
        <v>44857</v>
      </c>
      <c r="C1397" s="9">
        <f t="shared" ca="1" si="86"/>
        <v>17392.946665048927</v>
      </c>
      <c r="D1397" s="9">
        <f t="shared" ca="1" si="88"/>
        <v>18974.938019740413</v>
      </c>
      <c r="E1397" s="10">
        <f t="shared" ca="1" si="87"/>
        <v>9.713927145086923E-2</v>
      </c>
      <c r="G1397" s="8">
        <v>44857</v>
      </c>
      <c r="H1397" s="10">
        <f t="shared" ca="1" si="89"/>
        <v>0.24539377058572032</v>
      </c>
    </row>
    <row r="1398" spans="2:8" hidden="1" x14ac:dyDescent="0.2">
      <c r="B1398" s="8">
        <v>44858</v>
      </c>
      <c r="C1398" s="9">
        <f t="shared" ca="1" si="86"/>
        <v>17170.681319472613</v>
      </c>
      <c r="D1398" s="9">
        <f t="shared" ca="1" si="88"/>
        <v>27688.777600718764</v>
      </c>
      <c r="E1398" s="10">
        <f t="shared" ca="1" si="87"/>
        <v>7.6354885975088563E-2</v>
      </c>
      <c r="G1398" s="8">
        <v>44858</v>
      </c>
      <c r="H1398" s="10">
        <f t="shared" ca="1" si="89"/>
        <v>0.33466877750091445</v>
      </c>
    </row>
    <row r="1399" spans="2:8" hidden="1" x14ac:dyDescent="0.2">
      <c r="B1399" s="8">
        <v>44859</v>
      </c>
      <c r="C1399" s="9">
        <f t="shared" ca="1" si="86"/>
        <v>14769.6968832489</v>
      </c>
      <c r="D1399" s="9">
        <f t="shared" ca="1" si="88"/>
        <v>15461.023964082342</v>
      </c>
      <c r="E1399" s="10">
        <f t="shared" ca="1" si="87"/>
        <v>0.15047081245953725</v>
      </c>
      <c r="G1399" s="8">
        <v>44859</v>
      </c>
      <c r="H1399" s="10">
        <f t="shared" ca="1" si="89"/>
        <v>0.16864973121557164</v>
      </c>
    </row>
    <row r="1400" spans="2:8" hidden="1" x14ac:dyDescent="0.2">
      <c r="B1400" s="8">
        <v>44860</v>
      </c>
      <c r="C1400" s="9">
        <f t="shared" ca="1" si="86"/>
        <v>10343.579559148899</v>
      </c>
      <c r="D1400" s="9">
        <f t="shared" ca="1" si="88"/>
        <v>22371.167433157741</v>
      </c>
      <c r="E1400" s="10">
        <f t="shared" ca="1" si="87"/>
        <v>4.1292420354846524E-2</v>
      </c>
      <c r="G1400" s="8">
        <v>44860</v>
      </c>
      <c r="H1400" s="10">
        <f t="shared" ca="1" si="89"/>
        <v>0.13097193545822045</v>
      </c>
    </row>
    <row r="1401" spans="2:8" hidden="1" x14ac:dyDescent="0.2">
      <c r="B1401" s="8">
        <v>44861</v>
      </c>
      <c r="C1401" s="9">
        <f t="shared" ca="1" si="86"/>
        <v>11713.076972631081</v>
      </c>
      <c r="D1401" s="9">
        <f t="shared" ca="1" si="88"/>
        <v>14920.958236271656</v>
      </c>
      <c r="E1401" s="10">
        <f t="shared" ca="1" si="87"/>
        <v>8.660530153985517E-2</v>
      </c>
      <c r="G1401" s="8">
        <v>44861</v>
      </c>
      <c r="H1401" s="10">
        <f t="shared" ca="1" si="89"/>
        <v>0.22390147376086927</v>
      </c>
    </row>
    <row r="1402" spans="2:8" hidden="1" x14ac:dyDescent="0.2">
      <c r="B1402" s="8">
        <v>44862</v>
      </c>
      <c r="C1402" s="9">
        <f t="shared" ca="1" si="86"/>
        <v>10156.938449532765</v>
      </c>
      <c r="D1402" s="9">
        <f t="shared" ca="1" si="88"/>
        <v>23752.368911558642</v>
      </c>
      <c r="E1402" s="10">
        <f t="shared" ca="1" si="87"/>
        <v>0.26642127470757571</v>
      </c>
      <c r="G1402" s="8">
        <v>44862</v>
      </c>
      <c r="H1402" s="10">
        <f t="shared" ca="1" si="89"/>
        <v>9.2110113763686205E-2</v>
      </c>
    </row>
    <row r="1403" spans="2:8" hidden="1" x14ac:dyDescent="0.2">
      <c r="B1403" s="8">
        <v>44863</v>
      </c>
      <c r="C1403" s="9">
        <f t="shared" ca="1" si="86"/>
        <v>12410.518251346999</v>
      </c>
      <c r="D1403" s="9">
        <f t="shared" ca="1" si="88"/>
        <v>11355.25156519892</v>
      </c>
      <c r="E1403" s="10">
        <f t="shared" ca="1" si="87"/>
        <v>0.27921344535322634</v>
      </c>
      <c r="G1403" s="8">
        <v>44863</v>
      </c>
      <c r="H1403" s="10">
        <f t="shared" ca="1" si="89"/>
        <v>0.39726112740088027</v>
      </c>
    </row>
    <row r="1404" spans="2:8" hidden="1" x14ac:dyDescent="0.2">
      <c r="B1404" s="8">
        <v>44864</v>
      </c>
      <c r="C1404" s="9">
        <f t="shared" ca="1" si="86"/>
        <v>12880.660394483524</v>
      </c>
      <c r="D1404" s="9">
        <f t="shared" ca="1" si="88"/>
        <v>36879.240486660754</v>
      </c>
      <c r="E1404" s="10">
        <f t="shared" ca="1" si="87"/>
        <v>0.16883128327628685</v>
      </c>
      <c r="G1404" s="8">
        <v>44864</v>
      </c>
      <c r="H1404" s="10">
        <f t="shared" ca="1" si="89"/>
        <v>0.10729027117608687</v>
      </c>
    </row>
    <row r="1405" spans="2:8" hidden="1" x14ac:dyDescent="0.2">
      <c r="B1405" s="8">
        <v>44865</v>
      </c>
      <c r="C1405" s="9">
        <f t="shared" ca="1" si="86"/>
        <v>10433.838155767073</v>
      </c>
      <c r="D1405" s="9">
        <f t="shared" ca="1" si="88"/>
        <v>25137.21680677987</v>
      </c>
      <c r="E1405" s="10">
        <f t="shared" ca="1" si="87"/>
        <v>0.10098363682107415</v>
      </c>
      <c r="G1405" s="8">
        <v>44865</v>
      </c>
      <c r="H1405" s="10">
        <f t="shared" ca="1" si="89"/>
        <v>0.38670408981418197</v>
      </c>
    </row>
    <row r="1406" spans="2:8" hidden="1" x14ac:dyDescent="0.2">
      <c r="B1406" s="8">
        <v>44866</v>
      </c>
      <c r="C1406" s="9">
        <f t="shared" ca="1" si="86"/>
        <v>16836.331995955938</v>
      </c>
      <c r="D1406" s="9">
        <f t="shared" ca="1" si="88"/>
        <v>35955.220452172929</v>
      </c>
      <c r="E1406" s="10">
        <f t="shared" ca="1" si="87"/>
        <v>0.21520261488241421</v>
      </c>
      <c r="G1406" s="8">
        <v>44866</v>
      </c>
      <c r="H1406" s="10">
        <f t="shared" ca="1" si="89"/>
        <v>0.19761856914385634</v>
      </c>
    </row>
    <row r="1407" spans="2:8" hidden="1" x14ac:dyDescent="0.2">
      <c r="B1407" s="8">
        <v>44867</v>
      </c>
      <c r="C1407" s="9">
        <f t="shared" ca="1" si="86"/>
        <v>11362.720232516796</v>
      </c>
      <c r="D1407" s="9">
        <f t="shared" ca="1" si="88"/>
        <v>18166.838692774832</v>
      </c>
      <c r="E1407" s="10">
        <f t="shared" ca="1" si="87"/>
        <v>0.10222297120471176</v>
      </c>
      <c r="G1407" s="8">
        <v>44867</v>
      </c>
      <c r="H1407" s="10">
        <f t="shared" ca="1" si="89"/>
        <v>0.24376552353179021</v>
      </c>
    </row>
    <row r="1408" spans="2:8" hidden="1" x14ac:dyDescent="0.2">
      <c r="B1408" s="8">
        <v>44868</v>
      </c>
      <c r="C1408" s="9">
        <f t="shared" ca="1" si="86"/>
        <v>11931.682097327999</v>
      </c>
      <c r="D1408" s="9">
        <f t="shared" ca="1" si="88"/>
        <v>32506.305204776138</v>
      </c>
      <c r="E1408" s="10">
        <f t="shared" ca="1" si="87"/>
        <v>2.1746771239490214E-2</v>
      </c>
      <c r="G1408" s="8">
        <v>44868</v>
      </c>
      <c r="H1408" s="10">
        <f t="shared" ca="1" si="89"/>
        <v>0.32106979276634412</v>
      </c>
    </row>
    <row r="1409" spans="2:8" hidden="1" x14ac:dyDescent="0.2">
      <c r="B1409" s="8">
        <v>44869</v>
      </c>
      <c r="C1409" s="9">
        <f t="shared" ca="1" si="86"/>
        <v>16994.377886747348</v>
      </c>
      <c r="D1409" s="9">
        <f t="shared" ca="1" si="88"/>
        <v>26409.875053616644</v>
      </c>
      <c r="E1409" s="10">
        <f t="shared" ca="1" si="87"/>
        <v>0.25085997447798147</v>
      </c>
      <c r="G1409" s="8">
        <v>44869</v>
      </c>
      <c r="H1409" s="10">
        <f t="shared" ca="1" si="89"/>
        <v>0.34525121798869879</v>
      </c>
    </row>
    <row r="1410" spans="2:8" hidden="1" x14ac:dyDescent="0.2">
      <c r="B1410" s="8">
        <v>44870</v>
      </c>
      <c r="C1410" s="9">
        <f t="shared" ca="1" si="86"/>
        <v>13105.211700414922</v>
      </c>
      <c r="D1410" s="9">
        <f t="shared" ca="1" si="88"/>
        <v>35965.458863107968</v>
      </c>
      <c r="E1410" s="10">
        <f t="shared" ca="1" si="87"/>
        <v>4.5515589138349849E-3</v>
      </c>
      <c r="G1410" s="8">
        <v>44870</v>
      </c>
      <c r="H1410" s="10">
        <f t="shared" ca="1" si="89"/>
        <v>0.23253768992408552</v>
      </c>
    </row>
    <row r="1411" spans="2:8" hidden="1" x14ac:dyDescent="0.2">
      <c r="B1411" s="8">
        <v>44871</v>
      </c>
      <c r="C1411" s="9">
        <f t="shared" ca="1" si="86"/>
        <v>13833.578471992598</v>
      </c>
      <c r="D1411" s="9">
        <f t="shared" ca="1" si="88"/>
        <v>36824.847465138067</v>
      </c>
      <c r="E1411" s="10">
        <f t="shared" ca="1" si="87"/>
        <v>0.20920607230682481</v>
      </c>
      <c r="G1411" s="8">
        <v>44871</v>
      </c>
      <c r="H1411" s="10">
        <f t="shared" ca="1" si="89"/>
        <v>0.25213901320754173</v>
      </c>
    </row>
    <row r="1412" spans="2:8" hidden="1" x14ac:dyDescent="0.2">
      <c r="B1412" s="8">
        <v>44872</v>
      </c>
      <c r="C1412" s="9">
        <f t="shared" ca="1" si="86"/>
        <v>12494.008707023455</v>
      </c>
      <c r="D1412" s="9">
        <f t="shared" ca="1" si="88"/>
        <v>18366.375939825324</v>
      </c>
      <c r="E1412" s="10">
        <f t="shared" ca="1" si="87"/>
        <v>0.2295897002758725</v>
      </c>
      <c r="G1412" s="8">
        <v>44872</v>
      </c>
      <c r="H1412" s="10">
        <f t="shared" ca="1" si="89"/>
        <v>0.28795670470296969</v>
      </c>
    </row>
    <row r="1413" spans="2:8" hidden="1" x14ac:dyDescent="0.2">
      <c r="B1413" s="8">
        <v>44873</v>
      </c>
      <c r="C1413" s="9">
        <f t="shared" ca="1" si="86"/>
        <v>17108.800374358732</v>
      </c>
      <c r="D1413" s="9">
        <f t="shared" ca="1" si="88"/>
        <v>27573.9169154995</v>
      </c>
      <c r="E1413" s="10">
        <f t="shared" ca="1" si="87"/>
        <v>0.20185283761310449</v>
      </c>
      <c r="G1413" s="8">
        <v>44873</v>
      </c>
      <c r="H1413" s="10">
        <f t="shared" ca="1" si="89"/>
        <v>0.10884241928235028</v>
      </c>
    </row>
    <row r="1414" spans="2:8" hidden="1" x14ac:dyDescent="0.2">
      <c r="B1414" s="8">
        <v>44874</v>
      </c>
      <c r="C1414" s="9">
        <f t="shared" ca="1" si="86"/>
        <v>16275.424849459308</v>
      </c>
      <c r="D1414" s="9">
        <f t="shared" ca="1" si="88"/>
        <v>30693.329437561846</v>
      </c>
      <c r="E1414" s="10">
        <f t="shared" ca="1" si="87"/>
        <v>1.9049105562503832E-2</v>
      </c>
      <c r="G1414" s="8">
        <v>44874</v>
      </c>
      <c r="H1414" s="10">
        <f t="shared" ca="1" si="89"/>
        <v>0.21170238521846346</v>
      </c>
    </row>
    <row r="1415" spans="2:8" hidden="1" x14ac:dyDescent="0.2">
      <c r="B1415" s="8">
        <v>44875</v>
      </c>
      <c r="C1415" s="9">
        <f t="shared" ref="C1415:C1478" ca="1" si="90">RAND()*(18000-10000)+10000</f>
        <v>10441.679474295859</v>
      </c>
      <c r="D1415" s="9">
        <f t="shared" ca="1" si="88"/>
        <v>32075.51592138705</v>
      </c>
      <c r="E1415" s="10">
        <f t="shared" ref="E1415:E1478" ca="1" si="91">RAND()*(30%-0%)+0%</f>
        <v>5.1050024337553575E-2</v>
      </c>
      <c r="G1415" s="8">
        <v>44875</v>
      </c>
      <c r="H1415" s="10">
        <f t="shared" ca="1" si="89"/>
        <v>0.39831500142813497</v>
      </c>
    </row>
    <row r="1416" spans="2:8" hidden="1" x14ac:dyDescent="0.2">
      <c r="B1416" s="8">
        <v>44876</v>
      </c>
      <c r="C1416" s="9">
        <f t="shared" ca="1" si="90"/>
        <v>10445.2622325538</v>
      </c>
      <c r="D1416" s="9">
        <f t="shared" ca="1" si="88"/>
        <v>30542.463144337617</v>
      </c>
      <c r="E1416" s="10">
        <f t="shared" ca="1" si="91"/>
        <v>2.225219474804092E-2</v>
      </c>
      <c r="G1416" s="8">
        <v>44876</v>
      </c>
      <c r="H1416" s="10">
        <f t="shared" ca="1" si="89"/>
        <v>0.12085944014620253</v>
      </c>
    </row>
    <row r="1417" spans="2:8" hidden="1" x14ac:dyDescent="0.2">
      <c r="B1417" s="8">
        <v>44877</v>
      </c>
      <c r="C1417" s="9">
        <f t="shared" ca="1" si="90"/>
        <v>14313.434589812689</v>
      </c>
      <c r="D1417" s="9">
        <f t="shared" ca="1" si="88"/>
        <v>30532.090197109326</v>
      </c>
      <c r="E1417" s="10">
        <f t="shared" ca="1" si="91"/>
        <v>0.26040634887411479</v>
      </c>
      <c r="G1417" s="8">
        <v>44877</v>
      </c>
      <c r="H1417" s="10">
        <f t="shared" ca="1" si="89"/>
        <v>0.37428800639575682</v>
      </c>
    </row>
    <row r="1418" spans="2:8" hidden="1" x14ac:dyDescent="0.2">
      <c r="B1418" s="8">
        <v>44878</v>
      </c>
      <c r="C1418" s="9">
        <f t="shared" ca="1" si="90"/>
        <v>15118.192272292759</v>
      </c>
      <c r="D1418" s="9">
        <f t="shared" ca="1" si="88"/>
        <v>20517.887963280911</v>
      </c>
      <c r="E1418" s="10">
        <f t="shared" ca="1" si="91"/>
        <v>0.21542476126652813</v>
      </c>
      <c r="G1418" s="8">
        <v>44878</v>
      </c>
      <c r="H1418" s="10">
        <f t="shared" ca="1" si="89"/>
        <v>0.39140768244808766</v>
      </c>
    </row>
    <row r="1419" spans="2:8" hidden="1" x14ac:dyDescent="0.2">
      <c r="B1419" s="8">
        <v>44879</v>
      </c>
      <c r="C1419" s="9">
        <f t="shared" ca="1" si="90"/>
        <v>11403.470334163263</v>
      </c>
      <c r="D1419" s="9">
        <f t="shared" ca="1" si="88"/>
        <v>12376.884542219108</v>
      </c>
      <c r="E1419" s="10">
        <f t="shared" ca="1" si="91"/>
        <v>0.19154944979696498</v>
      </c>
      <c r="G1419" s="8">
        <v>44879</v>
      </c>
      <c r="H1419" s="10">
        <f t="shared" ca="1" si="89"/>
        <v>0.32377282722686135</v>
      </c>
    </row>
    <row r="1420" spans="2:8" hidden="1" x14ac:dyDescent="0.2">
      <c r="B1420" s="8">
        <v>44880</v>
      </c>
      <c r="C1420" s="9">
        <f t="shared" ca="1" si="90"/>
        <v>10218.719533369162</v>
      </c>
      <c r="D1420" s="9">
        <f t="shared" ca="1" si="88"/>
        <v>28920.689075218739</v>
      </c>
      <c r="E1420" s="10">
        <f t="shared" ca="1" si="91"/>
        <v>0.25134422766053982</v>
      </c>
      <c r="G1420" s="8">
        <v>44880</v>
      </c>
      <c r="H1420" s="10">
        <f t="shared" ca="1" si="89"/>
        <v>0.18289133909890848</v>
      </c>
    </row>
    <row r="1421" spans="2:8" hidden="1" x14ac:dyDescent="0.2">
      <c r="B1421" s="8">
        <v>44881</v>
      </c>
      <c r="C1421" s="9">
        <f t="shared" ca="1" si="90"/>
        <v>14982.426332444466</v>
      </c>
      <c r="D1421" s="9">
        <f t="shared" ca="1" si="88"/>
        <v>11804.845258598256</v>
      </c>
      <c r="E1421" s="10">
        <f t="shared" ca="1" si="91"/>
        <v>6.7790053584477511E-2</v>
      </c>
      <c r="G1421" s="8">
        <v>44881</v>
      </c>
      <c r="H1421" s="10">
        <f t="shared" ca="1" si="89"/>
        <v>0.33486294040945586</v>
      </c>
    </row>
    <row r="1422" spans="2:8" hidden="1" x14ac:dyDescent="0.2">
      <c r="B1422" s="8">
        <v>44882</v>
      </c>
      <c r="C1422" s="9">
        <f t="shared" ca="1" si="90"/>
        <v>10410.241371341523</v>
      </c>
      <c r="D1422" s="9">
        <f t="shared" ca="1" si="88"/>
        <v>16533.309079420898</v>
      </c>
      <c r="E1422" s="10">
        <f t="shared" ca="1" si="91"/>
        <v>0.16608237093007855</v>
      </c>
      <c r="G1422" s="8">
        <v>44882</v>
      </c>
      <c r="H1422" s="10">
        <f t="shared" ca="1" si="89"/>
        <v>0.22275551282710715</v>
      </c>
    </row>
    <row r="1423" spans="2:8" hidden="1" x14ac:dyDescent="0.2">
      <c r="B1423" s="8">
        <v>44883</v>
      </c>
      <c r="C1423" s="9">
        <f t="shared" ca="1" si="90"/>
        <v>11428.138586538389</v>
      </c>
      <c r="D1423" s="9">
        <f t="shared" ref="D1423:D1486" ca="1" si="92">RAND()*(40000-10000)+10000</f>
        <v>34418.739652820339</v>
      </c>
      <c r="E1423" s="10">
        <f t="shared" ca="1" si="91"/>
        <v>0.1753904403954534</v>
      </c>
      <c r="G1423" s="8">
        <v>44883</v>
      </c>
      <c r="H1423" s="10">
        <f t="shared" ref="H1423:H1486" ca="1" si="93">RAND()*(40%-8%)+8%</f>
        <v>0.35314363247390979</v>
      </c>
    </row>
    <row r="1424" spans="2:8" hidden="1" x14ac:dyDescent="0.2">
      <c r="B1424" s="8">
        <v>44884</v>
      </c>
      <c r="C1424" s="9">
        <f t="shared" ca="1" si="90"/>
        <v>11817.004400797112</v>
      </c>
      <c r="D1424" s="9">
        <f t="shared" ca="1" si="92"/>
        <v>32161.19445849262</v>
      </c>
      <c r="E1424" s="10">
        <f t="shared" ca="1" si="91"/>
        <v>0.19123603876168607</v>
      </c>
      <c r="G1424" s="8">
        <v>44884</v>
      </c>
      <c r="H1424" s="10">
        <f t="shared" ca="1" si="93"/>
        <v>0.2932545308579958</v>
      </c>
    </row>
    <row r="1425" spans="2:8" hidden="1" x14ac:dyDescent="0.2">
      <c r="B1425" s="8">
        <v>44885</v>
      </c>
      <c r="C1425" s="9">
        <f t="shared" ca="1" si="90"/>
        <v>13367.580812731407</v>
      </c>
      <c r="D1425" s="9">
        <f t="shared" ca="1" si="92"/>
        <v>15827.903744021407</v>
      </c>
      <c r="E1425" s="10">
        <f t="shared" ca="1" si="91"/>
        <v>4.7637776022853705E-2</v>
      </c>
      <c r="G1425" s="8">
        <v>44885</v>
      </c>
      <c r="H1425" s="10">
        <f t="shared" ca="1" si="93"/>
        <v>0.27868253567978285</v>
      </c>
    </row>
    <row r="1426" spans="2:8" hidden="1" x14ac:dyDescent="0.2">
      <c r="B1426" s="8">
        <v>44886</v>
      </c>
      <c r="C1426" s="9">
        <f t="shared" ca="1" si="90"/>
        <v>16941.455101582345</v>
      </c>
      <c r="D1426" s="9">
        <f t="shared" ca="1" si="92"/>
        <v>29652.448732891524</v>
      </c>
      <c r="E1426" s="10">
        <f t="shared" ca="1" si="91"/>
        <v>5.5450085206316523E-2</v>
      </c>
      <c r="G1426" s="8">
        <v>44886</v>
      </c>
      <c r="H1426" s="10">
        <f t="shared" ca="1" si="93"/>
        <v>0.38478991564943366</v>
      </c>
    </row>
    <row r="1427" spans="2:8" hidden="1" x14ac:dyDescent="0.2">
      <c r="B1427" s="8">
        <v>44887</v>
      </c>
      <c r="C1427" s="9">
        <f t="shared" ca="1" si="90"/>
        <v>14466.479105498856</v>
      </c>
      <c r="D1427" s="9">
        <f t="shared" ca="1" si="92"/>
        <v>29409.969777736558</v>
      </c>
      <c r="E1427" s="10">
        <f t="shared" ca="1" si="91"/>
        <v>0.13261573366084356</v>
      </c>
      <c r="G1427" s="8">
        <v>44887</v>
      </c>
      <c r="H1427" s="10">
        <f t="shared" ca="1" si="93"/>
        <v>0.39477253020871039</v>
      </c>
    </row>
    <row r="1428" spans="2:8" hidden="1" x14ac:dyDescent="0.2">
      <c r="B1428" s="8">
        <v>44888</v>
      </c>
      <c r="C1428" s="9">
        <f t="shared" ca="1" si="90"/>
        <v>12569.11431126587</v>
      </c>
      <c r="D1428" s="9">
        <f t="shared" ca="1" si="92"/>
        <v>24569.123794235689</v>
      </c>
      <c r="E1428" s="10">
        <f t="shared" ca="1" si="91"/>
        <v>0.29528254349290523</v>
      </c>
      <c r="G1428" s="8">
        <v>44888</v>
      </c>
      <c r="H1428" s="10">
        <f t="shared" ca="1" si="93"/>
        <v>0.23737089555346824</v>
      </c>
    </row>
    <row r="1429" spans="2:8" hidden="1" x14ac:dyDescent="0.2">
      <c r="B1429" s="8">
        <v>44889</v>
      </c>
      <c r="C1429" s="9">
        <f t="shared" ca="1" si="90"/>
        <v>10834.449205092027</v>
      </c>
      <c r="D1429" s="9">
        <f t="shared" ca="1" si="92"/>
        <v>25404.695401318262</v>
      </c>
      <c r="E1429" s="10">
        <f t="shared" ca="1" si="91"/>
        <v>0.28125425399221754</v>
      </c>
      <c r="G1429" s="8">
        <v>44889</v>
      </c>
      <c r="H1429" s="10">
        <f t="shared" ca="1" si="93"/>
        <v>0.31434746634253136</v>
      </c>
    </row>
    <row r="1430" spans="2:8" hidden="1" x14ac:dyDescent="0.2">
      <c r="B1430" s="8">
        <v>44890</v>
      </c>
      <c r="C1430" s="9">
        <f t="shared" ca="1" si="90"/>
        <v>10905.138701606214</v>
      </c>
      <c r="D1430" s="9">
        <f t="shared" ca="1" si="92"/>
        <v>36701.690304829404</v>
      </c>
      <c r="E1430" s="10">
        <f t="shared" ca="1" si="91"/>
        <v>0.28498680591998243</v>
      </c>
      <c r="G1430" s="8">
        <v>44890</v>
      </c>
      <c r="H1430" s="10">
        <f t="shared" ca="1" si="93"/>
        <v>0.35755427382879629</v>
      </c>
    </row>
    <row r="1431" spans="2:8" hidden="1" x14ac:dyDescent="0.2">
      <c r="B1431" s="8">
        <v>44891</v>
      </c>
      <c r="C1431" s="9">
        <f t="shared" ca="1" si="90"/>
        <v>12888.198936288671</v>
      </c>
      <c r="D1431" s="9">
        <f t="shared" ca="1" si="92"/>
        <v>37118.913647795183</v>
      </c>
      <c r="E1431" s="10">
        <f t="shared" ca="1" si="91"/>
        <v>0.27169175866740347</v>
      </c>
      <c r="G1431" s="8">
        <v>44891</v>
      </c>
      <c r="H1431" s="10">
        <f t="shared" ca="1" si="93"/>
        <v>0.38557732873970424</v>
      </c>
    </row>
    <row r="1432" spans="2:8" hidden="1" x14ac:dyDescent="0.2">
      <c r="B1432" s="8">
        <v>44892</v>
      </c>
      <c r="C1432" s="9">
        <f t="shared" ca="1" si="90"/>
        <v>11208.076973948175</v>
      </c>
      <c r="D1432" s="9">
        <f t="shared" ca="1" si="92"/>
        <v>38180.781355343279</v>
      </c>
      <c r="E1432" s="10">
        <f t="shared" ca="1" si="91"/>
        <v>0.13636702606739209</v>
      </c>
      <c r="G1432" s="8">
        <v>44892</v>
      </c>
      <c r="H1432" s="10">
        <f t="shared" ca="1" si="93"/>
        <v>9.9988468756340626E-2</v>
      </c>
    </row>
    <row r="1433" spans="2:8" hidden="1" x14ac:dyDescent="0.2">
      <c r="B1433" s="8">
        <v>44893</v>
      </c>
      <c r="C1433" s="9">
        <f t="shared" ca="1" si="90"/>
        <v>12339.35494974032</v>
      </c>
      <c r="D1433" s="9">
        <f t="shared" ca="1" si="92"/>
        <v>23142.197124269434</v>
      </c>
      <c r="E1433" s="10">
        <f t="shared" ca="1" si="91"/>
        <v>0.22458206782768828</v>
      </c>
      <c r="G1433" s="8">
        <v>44893</v>
      </c>
      <c r="H1433" s="10">
        <f t="shared" ca="1" si="93"/>
        <v>0.36315400281046573</v>
      </c>
    </row>
    <row r="1434" spans="2:8" hidden="1" x14ac:dyDescent="0.2">
      <c r="B1434" s="8">
        <v>44894</v>
      </c>
      <c r="C1434" s="9">
        <f t="shared" ca="1" si="90"/>
        <v>15463.973791871183</v>
      </c>
      <c r="D1434" s="9">
        <f t="shared" ca="1" si="92"/>
        <v>38103.475113541601</v>
      </c>
      <c r="E1434" s="10">
        <f t="shared" ca="1" si="91"/>
        <v>0.20678643076568251</v>
      </c>
      <c r="G1434" s="8">
        <v>44894</v>
      </c>
      <c r="H1434" s="10">
        <f t="shared" ca="1" si="93"/>
        <v>0.39042806554514642</v>
      </c>
    </row>
    <row r="1435" spans="2:8" hidden="1" x14ac:dyDescent="0.2">
      <c r="B1435" s="8">
        <v>44895</v>
      </c>
      <c r="C1435" s="9">
        <f t="shared" ca="1" si="90"/>
        <v>10948.927527820477</v>
      </c>
      <c r="D1435" s="9">
        <f t="shared" ca="1" si="92"/>
        <v>11101.780661249442</v>
      </c>
      <c r="E1435" s="10">
        <f t="shared" ca="1" si="91"/>
        <v>0.16958491349465141</v>
      </c>
      <c r="G1435" s="8">
        <v>44895</v>
      </c>
      <c r="H1435" s="10">
        <f t="shared" ca="1" si="93"/>
        <v>0.25098503612890921</v>
      </c>
    </row>
    <row r="1436" spans="2:8" hidden="1" x14ac:dyDescent="0.2">
      <c r="B1436" s="8">
        <v>44896</v>
      </c>
      <c r="C1436" s="9">
        <f t="shared" ca="1" si="90"/>
        <v>10360.581125891857</v>
      </c>
      <c r="D1436" s="9">
        <f t="shared" ca="1" si="92"/>
        <v>29072.868783789221</v>
      </c>
      <c r="E1436" s="10">
        <f t="shared" ca="1" si="91"/>
        <v>0.24322344999905787</v>
      </c>
      <c r="G1436" s="8">
        <v>44896</v>
      </c>
      <c r="H1436" s="10">
        <f t="shared" ca="1" si="93"/>
        <v>0.20520857090493178</v>
      </c>
    </row>
    <row r="1437" spans="2:8" hidden="1" x14ac:dyDescent="0.2">
      <c r="B1437" s="8">
        <v>44897</v>
      </c>
      <c r="C1437" s="9">
        <f t="shared" ca="1" si="90"/>
        <v>14288.116595307303</v>
      </c>
      <c r="D1437" s="9">
        <f t="shared" ca="1" si="92"/>
        <v>33152.980971093115</v>
      </c>
      <c r="E1437" s="10">
        <f t="shared" ca="1" si="91"/>
        <v>0.10773979220655913</v>
      </c>
      <c r="G1437" s="8">
        <v>44897</v>
      </c>
      <c r="H1437" s="10">
        <f t="shared" ca="1" si="93"/>
        <v>0.16011700838570364</v>
      </c>
    </row>
    <row r="1438" spans="2:8" hidden="1" x14ac:dyDescent="0.2">
      <c r="B1438" s="8">
        <v>44898</v>
      </c>
      <c r="C1438" s="9">
        <f t="shared" ca="1" si="90"/>
        <v>15294.62881042926</v>
      </c>
      <c r="D1438" s="9">
        <f t="shared" ca="1" si="92"/>
        <v>21397.518356253491</v>
      </c>
      <c r="E1438" s="10">
        <f t="shared" ca="1" si="91"/>
        <v>0.23098132415435896</v>
      </c>
      <c r="G1438" s="8">
        <v>44898</v>
      </c>
      <c r="H1438" s="10">
        <f t="shared" ca="1" si="93"/>
        <v>0.15900083347756061</v>
      </c>
    </row>
    <row r="1439" spans="2:8" hidden="1" x14ac:dyDescent="0.2">
      <c r="B1439" s="8">
        <v>44899</v>
      </c>
      <c r="C1439" s="9">
        <f t="shared" ca="1" si="90"/>
        <v>17155.722188077631</v>
      </c>
      <c r="D1439" s="9">
        <f t="shared" ca="1" si="92"/>
        <v>28862.590981262223</v>
      </c>
      <c r="E1439" s="10">
        <f t="shared" ca="1" si="91"/>
        <v>0.14328128853626396</v>
      </c>
      <c r="G1439" s="8">
        <v>44899</v>
      </c>
      <c r="H1439" s="10">
        <f t="shared" ca="1" si="93"/>
        <v>0.22262591779835617</v>
      </c>
    </row>
    <row r="1440" spans="2:8" hidden="1" x14ac:dyDescent="0.2">
      <c r="B1440" s="8">
        <v>44900</v>
      </c>
      <c r="C1440" s="9">
        <f t="shared" ca="1" si="90"/>
        <v>12345.170793371643</v>
      </c>
      <c r="D1440" s="9">
        <f t="shared" ca="1" si="92"/>
        <v>23768.38173958542</v>
      </c>
      <c r="E1440" s="10">
        <f t="shared" ca="1" si="91"/>
        <v>0.20812836042221464</v>
      </c>
      <c r="G1440" s="8">
        <v>44900</v>
      </c>
      <c r="H1440" s="10">
        <f t="shared" ca="1" si="93"/>
        <v>0.14109029053029887</v>
      </c>
    </row>
    <row r="1441" spans="2:8" hidden="1" x14ac:dyDescent="0.2">
      <c r="B1441" s="8">
        <v>44901</v>
      </c>
      <c r="C1441" s="9">
        <f t="shared" ca="1" si="90"/>
        <v>17117.350355660459</v>
      </c>
      <c r="D1441" s="9">
        <f t="shared" ca="1" si="92"/>
        <v>33632.449066014931</v>
      </c>
      <c r="E1441" s="10">
        <f t="shared" ca="1" si="91"/>
        <v>0.14153434015509148</v>
      </c>
      <c r="G1441" s="8">
        <v>44901</v>
      </c>
      <c r="H1441" s="10">
        <f t="shared" ca="1" si="93"/>
        <v>0.28571143774654478</v>
      </c>
    </row>
    <row r="1442" spans="2:8" hidden="1" x14ac:dyDescent="0.2">
      <c r="B1442" s="8">
        <v>44902</v>
      </c>
      <c r="C1442" s="9">
        <f t="shared" ca="1" si="90"/>
        <v>11374.375163217925</v>
      </c>
      <c r="D1442" s="9">
        <f t="shared" ca="1" si="92"/>
        <v>36220.855371741185</v>
      </c>
      <c r="E1442" s="10">
        <f t="shared" ca="1" si="91"/>
        <v>4.0710161572040222E-2</v>
      </c>
      <c r="G1442" s="8">
        <v>44902</v>
      </c>
      <c r="H1442" s="10">
        <f t="shared" ca="1" si="93"/>
        <v>0.23343122630710872</v>
      </c>
    </row>
    <row r="1443" spans="2:8" hidden="1" x14ac:dyDescent="0.2">
      <c r="B1443" s="8">
        <v>44903</v>
      </c>
      <c r="C1443" s="9">
        <f t="shared" ca="1" si="90"/>
        <v>10658.924063611317</v>
      </c>
      <c r="D1443" s="9">
        <f t="shared" ca="1" si="92"/>
        <v>32744.746846972859</v>
      </c>
      <c r="E1443" s="10">
        <f t="shared" ca="1" si="91"/>
        <v>0.22530613037544417</v>
      </c>
      <c r="G1443" s="8">
        <v>44903</v>
      </c>
      <c r="H1443" s="10">
        <f t="shared" ca="1" si="93"/>
        <v>0.23560871975660214</v>
      </c>
    </row>
    <row r="1444" spans="2:8" hidden="1" x14ac:dyDescent="0.2">
      <c r="B1444" s="8">
        <v>44904</v>
      </c>
      <c r="C1444" s="9">
        <f t="shared" ca="1" si="90"/>
        <v>11420.596880817537</v>
      </c>
      <c r="D1444" s="9">
        <f t="shared" ca="1" si="92"/>
        <v>23844.017361712602</v>
      </c>
      <c r="E1444" s="10">
        <f t="shared" ca="1" si="91"/>
        <v>0.26835129543396874</v>
      </c>
      <c r="G1444" s="8">
        <v>44904</v>
      </c>
      <c r="H1444" s="10">
        <f t="shared" ca="1" si="93"/>
        <v>0.28743256785498728</v>
      </c>
    </row>
    <row r="1445" spans="2:8" hidden="1" x14ac:dyDescent="0.2">
      <c r="B1445" s="8">
        <v>44905</v>
      </c>
      <c r="C1445" s="9">
        <f t="shared" ca="1" si="90"/>
        <v>14393.763714166285</v>
      </c>
      <c r="D1445" s="9">
        <f t="shared" ca="1" si="92"/>
        <v>35247.272538583376</v>
      </c>
      <c r="E1445" s="10">
        <f t="shared" ca="1" si="91"/>
        <v>0.21695340224546347</v>
      </c>
      <c r="G1445" s="8">
        <v>44905</v>
      </c>
      <c r="H1445" s="10">
        <f t="shared" ca="1" si="93"/>
        <v>0.28582934509297042</v>
      </c>
    </row>
    <row r="1446" spans="2:8" hidden="1" x14ac:dyDescent="0.2">
      <c r="B1446" s="8">
        <v>44906</v>
      </c>
      <c r="C1446" s="9">
        <f t="shared" ca="1" si="90"/>
        <v>13718.558124678941</v>
      </c>
      <c r="D1446" s="9">
        <f t="shared" ca="1" si="92"/>
        <v>14598.809951504072</v>
      </c>
      <c r="E1446" s="10">
        <f t="shared" ca="1" si="91"/>
        <v>0.1724589810202535</v>
      </c>
      <c r="G1446" s="8">
        <v>44906</v>
      </c>
      <c r="H1446" s="10">
        <f t="shared" ca="1" si="93"/>
        <v>0.3859793431578768</v>
      </c>
    </row>
    <row r="1447" spans="2:8" hidden="1" x14ac:dyDescent="0.2">
      <c r="B1447" s="8">
        <v>44907</v>
      </c>
      <c r="C1447" s="9">
        <f t="shared" ca="1" si="90"/>
        <v>10371.830117231195</v>
      </c>
      <c r="D1447" s="9">
        <f t="shared" ca="1" si="92"/>
        <v>28337.624736466911</v>
      </c>
      <c r="E1447" s="10">
        <f t="shared" ca="1" si="91"/>
        <v>0.11028493202328639</v>
      </c>
      <c r="G1447" s="8">
        <v>44907</v>
      </c>
      <c r="H1447" s="10">
        <f t="shared" ca="1" si="93"/>
        <v>0.28235747644528436</v>
      </c>
    </row>
    <row r="1448" spans="2:8" hidden="1" x14ac:dyDescent="0.2">
      <c r="B1448" s="8">
        <v>44908</v>
      </c>
      <c r="C1448" s="9">
        <f t="shared" ca="1" si="90"/>
        <v>14921.898748973184</v>
      </c>
      <c r="D1448" s="9">
        <f t="shared" ca="1" si="92"/>
        <v>30648.830666461698</v>
      </c>
      <c r="E1448" s="10">
        <f t="shared" ca="1" si="91"/>
        <v>0.10843108449022727</v>
      </c>
      <c r="G1448" s="8">
        <v>44908</v>
      </c>
      <c r="H1448" s="10">
        <f t="shared" ca="1" si="93"/>
        <v>0.29203990594116414</v>
      </c>
    </row>
    <row r="1449" spans="2:8" hidden="1" x14ac:dyDescent="0.2">
      <c r="B1449" s="8">
        <v>44909</v>
      </c>
      <c r="C1449" s="9">
        <f t="shared" ca="1" si="90"/>
        <v>17649.632807930597</v>
      </c>
      <c r="D1449" s="9">
        <f t="shared" ca="1" si="92"/>
        <v>17487.057932766998</v>
      </c>
      <c r="E1449" s="10">
        <f t="shared" ca="1" si="91"/>
        <v>0.2222616758618953</v>
      </c>
      <c r="G1449" s="8">
        <v>44909</v>
      </c>
      <c r="H1449" s="10">
        <f t="shared" ca="1" si="93"/>
        <v>0.10726273169005865</v>
      </c>
    </row>
    <row r="1450" spans="2:8" hidden="1" x14ac:dyDescent="0.2">
      <c r="B1450" s="8">
        <v>44910</v>
      </c>
      <c r="C1450" s="9">
        <f t="shared" ca="1" si="90"/>
        <v>15270.958202713555</v>
      </c>
      <c r="D1450" s="9">
        <f t="shared" ca="1" si="92"/>
        <v>18749.216709252767</v>
      </c>
      <c r="E1450" s="10">
        <f t="shared" ca="1" si="91"/>
        <v>8.6941406279757619E-2</v>
      </c>
      <c r="G1450" s="8">
        <v>44910</v>
      </c>
      <c r="H1450" s="10">
        <f t="shared" ca="1" si="93"/>
        <v>0.30740729647110465</v>
      </c>
    </row>
    <row r="1451" spans="2:8" hidden="1" x14ac:dyDescent="0.2">
      <c r="B1451" s="8">
        <v>44911</v>
      </c>
      <c r="C1451" s="9">
        <f t="shared" ca="1" si="90"/>
        <v>16497.900216974078</v>
      </c>
      <c r="D1451" s="9">
        <f t="shared" ca="1" si="92"/>
        <v>27105.423680535099</v>
      </c>
      <c r="E1451" s="10">
        <f t="shared" ca="1" si="91"/>
        <v>6.3892536442296588E-2</v>
      </c>
      <c r="G1451" s="8">
        <v>44911</v>
      </c>
      <c r="H1451" s="10">
        <f t="shared" ca="1" si="93"/>
        <v>0.23001116664242338</v>
      </c>
    </row>
    <row r="1452" spans="2:8" hidden="1" x14ac:dyDescent="0.2">
      <c r="B1452" s="8">
        <v>44912</v>
      </c>
      <c r="C1452" s="9">
        <f t="shared" ca="1" si="90"/>
        <v>13815.590903006978</v>
      </c>
      <c r="D1452" s="9">
        <f t="shared" ca="1" si="92"/>
        <v>39717.306507449553</v>
      </c>
      <c r="E1452" s="10">
        <f t="shared" ca="1" si="91"/>
        <v>2.9491626997508999E-2</v>
      </c>
      <c r="G1452" s="8">
        <v>44912</v>
      </c>
      <c r="H1452" s="10">
        <f t="shared" ca="1" si="93"/>
        <v>0.23114839932476211</v>
      </c>
    </row>
    <row r="1453" spans="2:8" hidden="1" x14ac:dyDescent="0.2">
      <c r="B1453" s="8">
        <v>44913</v>
      </c>
      <c r="C1453" s="9">
        <f t="shared" ca="1" si="90"/>
        <v>14523.399847518198</v>
      </c>
      <c r="D1453" s="9">
        <f t="shared" ca="1" si="92"/>
        <v>25893.948583603793</v>
      </c>
      <c r="E1453" s="10">
        <f t="shared" ca="1" si="91"/>
        <v>0.20808494761926211</v>
      </c>
      <c r="G1453" s="8">
        <v>44913</v>
      </c>
      <c r="H1453" s="10">
        <f t="shared" ca="1" si="93"/>
        <v>0.20960302184446483</v>
      </c>
    </row>
    <row r="1454" spans="2:8" hidden="1" x14ac:dyDescent="0.2">
      <c r="B1454" s="8">
        <v>44914</v>
      </c>
      <c r="C1454" s="9">
        <f t="shared" ca="1" si="90"/>
        <v>12320.088730523476</v>
      </c>
      <c r="D1454" s="9">
        <f t="shared" ca="1" si="92"/>
        <v>34831.001727648501</v>
      </c>
      <c r="E1454" s="10">
        <f t="shared" ca="1" si="91"/>
        <v>9.842028840475402E-3</v>
      </c>
      <c r="G1454" s="8">
        <v>44914</v>
      </c>
      <c r="H1454" s="10">
        <f t="shared" ca="1" si="93"/>
        <v>0.38722465224510472</v>
      </c>
    </row>
    <row r="1455" spans="2:8" hidden="1" x14ac:dyDescent="0.2">
      <c r="B1455" s="8">
        <v>44915</v>
      </c>
      <c r="C1455" s="9">
        <f t="shared" ca="1" si="90"/>
        <v>17854.424157211281</v>
      </c>
      <c r="D1455" s="9">
        <f t="shared" ca="1" si="92"/>
        <v>26626.474299705507</v>
      </c>
      <c r="E1455" s="10">
        <f t="shared" ca="1" si="91"/>
        <v>0.10564443816139735</v>
      </c>
      <c r="G1455" s="8">
        <v>44915</v>
      </c>
      <c r="H1455" s="10">
        <f t="shared" ca="1" si="93"/>
        <v>0.25757312848493658</v>
      </c>
    </row>
    <row r="1456" spans="2:8" hidden="1" x14ac:dyDescent="0.2">
      <c r="B1456" s="8">
        <v>44916</v>
      </c>
      <c r="C1456" s="9">
        <f t="shared" ca="1" si="90"/>
        <v>14696.904483632425</v>
      </c>
      <c r="D1456" s="9">
        <f t="shared" ca="1" si="92"/>
        <v>24271.277878519461</v>
      </c>
      <c r="E1456" s="10">
        <f t="shared" ca="1" si="91"/>
        <v>0.28900289475849139</v>
      </c>
      <c r="G1456" s="8">
        <v>44916</v>
      </c>
      <c r="H1456" s="10">
        <f t="shared" ca="1" si="93"/>
        <v>0.25428474211479996</v>
      </c>
    </row>
    <row r="1457" spans="2:8" hidden="1" x14ac:dyDescent="0.2">
      <c r="B1457" s="8">
        <v>44917</v>
      </c>
      <c r="C1457" s="9">
        <f t="shared" ca="1" si="90"/>
        <v>17328.963690954854</v>
      </c>
      <c r="D1457" s="9">
        <f t="shared" ca="1" si="92"/>
        <v>15255.896771260115</v>
      </c>
      <c r="E1457" s="10">
        <f t="shared" ca="1" si="91"/>
        <v>0.23600995003611647</v>
      </c>
      <c r="G1457" s="8">
        <v>44917</v>
      </c>
      <c r="H1457" s="10">
        <f t="shared" ca="1" si="93"/>
        <v>0.24890930185406485</v>
      </c>
    </row>
    <row r="1458" spans="2:8" hidden="1" x14ac:dyDescent="0.2">
      <c r="B1458" s="8">
        <v>44918</v>
      </c>
      <c r="C1458" s="9">
        <f t="shared" ca="1" si="90"/>
        <v>11630.466200427649</v>
      </c>
      <c r="D1458" s="9">
        <f t="shared" ca="1" si="92"/>
        <v>20009.635576602079</v>
      </c>
      <c r="E1458" s="10">
        <f t="shared" ca="1" si="91"/>
        <v>0.19120673673619171</v>
      </c>
      <c r="G1458" s="8">
        <v>44918</v>
      </c>
      <c r="H1458" s="10">
        <f t="shared" ca="1" si="93"/>
        <v>0.28727834463278396</v>
      </c>
    </row>
    <row r="1459" spans="2:8" hidden="1" x14ac:dyDescent="0.2">
      <c r="B1459" s="8">
        <v>44919</v>
      </c>
      <c r="C1459" s="9">
        <f t="shared" ca="1" si="90"/>
        <v>16907.126576458999</v>
      </c>
      <c r="D1459" s="9">
        <f t="shared" ca="1" si="92"/>
        <v>28976.834696070528</v>
      </c>
      <c r="E1459" s="10">
        <f t="shared" ca="1" si="91"/>
        <v>0.26553880805670138</v>
      </c>
      <c r="G1459" s="8">
        <v>44919</v>
      </c>
      <c r="H1459" s="10">
        <f t="shared" ca="1" si="93"/>
        <v>0.32136446103028382</v>
      </c>
    </row>
    <row r="1460" spans="2:8" hidden="1" x14ac:dyDescent="0.2">
      <c r="B1460" s="8">
        <v>44920</v>
      </c>
      <c r="C1460" s="9">
        <f t="shared" ca="1" si="90"/>
        <v>12074.006141386843</v>
      </c>
      <c r="D1460" s="9">
        <f t="shared" ca="1" si="92"/>
        <v>30166.988634035224</v>
      </c>
      <c r="E1460" s="10">
        <f t="shared" ca="1" si="91"/>
        <v>0.27892492192587837</v>
      </c>
      <c r="G1460" s="8">
        <v>44920</v>
      </c>
      <c r="H1460" s="10">
        <f t="shared" ca="1" si="93"/>
        <v>0.32206320678737771</v>
      </c>
    </row>
    <row r="1461" spans="2:8" hidden="1" x14ac:dyDescent="0.2">
      <c r="B1461" s="8">
        <v>44921</v>
      </c>
      <c r="C1461" s="9">
        <f t="shared" ca="1" si="90"/>
        <v>17370.855087296004</v>
      </c>
      <c r="D1461" s="9">
        <f t="shared" ca="1" si="92"/>
        <v>14762.695820129044</v>
      </c>
      <c r="E1461" s="10">
        <f t="shared" ca="1" si="91"/>
        <v>0.24109338960423507</v>
      </c>
      <c r="G1461" s="8">
        <v>44921</v>
      </c>
      <c r="H1461" s="10">
        <f t="shared" ca="1" si="93"/>
        <v>0.22917750594428349</v>
      </c>
    </row>
    <row r="1462" spans="2:8" hidden="1" x14ac:dyDescent="0.2">
      <c r="B1462" s="8">
        <v>44922</v>
      </c>
      <c r="C1462" s="9">
        <f t="shared" ca="1" si="90"/>
        <v>15011.950954017284</v>
      </c>
      <c r="D1462" s="9">
        <f t="shared" ca="1" si="92"/>
        <v>12878.414847510121</v>
      </c>
      <c r="E1462" s="10">
        <f t="shared" ca="1" si="91"/>
        <v>4.0203021266309334E-2</v>
      </c>
      <c r="G1462" s="8">
        <v>44922</v>
      </c>
      <c r="H1462" s="10">
        <f t="shared" ca="1" si="93"/>
        <v>0.22737829575545404</v>
      </c>
    </row>
    <row r="1463" spans="2:8" hidden="1" x14ac:dyDescent="0.2">
      <c r="B1463" s="8">
        <v>44923</v>
      </c>
      <c r="C1463" s="9">
        <f t="shared" ca="1" si="90"/>
        <v>13317.363259107779</v>
      </c>
      <c r="D1463" s="9">
        <f t="shared" ca="1" si="92"/>
        <v>30568.951112225583</v>
      </c>
      <c r="E1463" s="10">
        <f t="shared" ca="1" si="91"/>
        <v>0.11037590049373244</v>
      </c>
      <c r="G1463" s="8">
        <v>44923</v>
      </c>
      <c r="H1463" s="10">
        <f t="shared" ca="1" si="93"/>
        <v>0.23089073004927407</v>
      </c>
    </row>
    <row r="1464" spans="2:8" hidden="1" x14ac:dyDescent="0.2">
      <c r="B1464" s="8">
        <v>44924</v>
      </c>
      <c r="C1464" s="9">
        <f t="shared" ca="1" si="90"/>
        <v>10952.632245285957</v>
      </c>
      <c r="D1464" s="9">
        <f t="shared" ca="1" si="92"/>
        <v>34149.769990822751</v>
      </c>
      <c r="E1464" s="10">
        <f t="shared" ca="1" si="91"/>
        <v>0.22208837460293843</v>
      </c>
      <c r="G1464" s="8">
        <v>44924</v>
      </c>
      <c r="H1464" s="10">
        <f t="shared" ca="1" si="93"/>
        <v>0.37754339050334779</v>
      </c>
    </row>
    <row r="1465" spans="2:8" hidden="1" x14ac:dyDescent="0.2">
      <c r="B1465" s="8">
        <v>44925</v>
      </c>
      <c r="C1465" s="9">
        <f t="shared" ca="1" si="90"/>
        <v>15927.900562708284</v>
      </c>
      <c r="D1465" s="9">
        <f t="shared" ca="1" si="92"/>
        <v>34505.150343083718</v>
      </c>
      <c r="E1465" s="10">
        <f t="shared" ca="1" si="91"/>
        <v>0.11710264013402383</v>
      </c>
      <c r="G1465" s="8">
        <v>44925</v>
      </c>
      <c r="H1465" s="10">
        <f t="shared" ca="1" si="93"/>
        <v>0.38253699057525947</v>
      </c>
    </row>
    <row r="1466" spans="2:8" x14ac:dyDescent="0.2">
      <c r="B1466" s="8">
        <v>44926</v>
      </c>
      <c r="C1466" s="9">
        <f t="shared" ca="1" si="90"/>
        <v>10845.688718477504</v>
      </c>
      <c r="D1466" s="9">
        <f t="shared" ca="1" si="92"/>
        <v>38774.332278991948</v>
      </c>
      <c r="E1466" s="10">
        <f t="shared" ca="1" si="91"/>
        <v>0.13572946969449454</v>
      </c>
      <c r="G1466" s="8">
        <v>44926</v>
      </c>
      <c r="H1466" s="10">
        <f t="shared" ca="1" si="93"/>
        <v>0.35184378743111794</v>
      </c>
    </row>
    <row r="1467" spans="2:8" hidden="1" x14ac:dyDescent="0.2">
      <c r="B1467" s="8">
        <v>44927</v>
      </c>
      <c r="C1467" s="9">
        <f t="shared" ca="1" si="90"/>
        <v>11488.420234961481</v>
      </c>
      <c r="D1467" s="9">
        <f t="shared" ca="1" si="92"/>
        <v>27800.742033729446</v>
      </c>
      <c r="E1467" s="10">
        <f t="shared" ca="1" si="91"/>
        <v>0.12245963732439857</v>
      </c>
      <c r="G1467" s="8">
        <v>44927</v>
      </c>
      <c r="H1467" s="10">
        <f t="shared" ca="1" si="93"/>
        <v>0.15890887019925706</v>
      </c>
    </row>
    <row r="1468" spans="2:8" hidden="1" x14ac:dyDescent="0.2">
      <c r="B1468" s="8">
        <v>44928</v>
      </c>
      <c r="C1468" s="9">
        <f t="shared" ca="1" si="90"/>
        <v>12434.336304326527</v>
      </c>
      <c r="D1468" s="9">
        <f t="shared" ca="1" si="92"/>
        <v>34488.282436375732</v>
      </c>
      <c r="E1468" s="10">
        <f t="shared" ca="1" si="91"/>
        <v>0.20111125699174678</v>
      </c>
      <c r="G1468" s="8">
        <v>44928</v>
      </c>
      <c r="H1468" s="10">
        <f t="shared" ca="1" si="93"/>
        <v>0.24822050802135343</v>
      </c>
    </row>
    <row r="1469" spans="2:8" hidden="1" x14ac:dyDescent="0.2">
      <c r="B1469" s="8">
        <v>44929</v>
      </c>
      <c r="C1469" s="9">
        <f t="shared" ca="1" si="90"/>
        <v>11806.212944865909</v>
      </c>
      <c r="D1469" s="9">
        <f t="shared" ca="1" si="92"/>
        <v>22655.318507729349</v>
      </c>
      <c r="E1469" s="10">
        <f t="shared" ca="1" si="91"/>
        <v>0.12079375557298924</v>
      </c>
      <c r="G1469" s="8">
        <v>44929</v>
      </c>
      <c r="H1469" s="10">
        <f t="shared" ca="1" si="93"/>
        <v>0.22853149286393948</v>
      </c>
    </row>
    <row r="1470" spans="2:8" hidden="1" x14ac:dyDescent="0.2">
      <c r="B1470" s="8">
        <v>44930</v>
      </c>
      <c r="C1470" s="9">
        <f t="shared" ca="1" si="90"/>
        <v>14525.758613223325</v>
      </c>
      <c r="D1470" s="9">
        <f t="shared" ca="1" si="92"/>
        <v>19210.244268198221</v>
      </c>
      <c r="E1470" s="10">
        <f t="shared" ca="1" si="91"/>
        <v>0.22858789556419207</v>
      </c>
      <c r="G1470" s="8">
        <v>44930</v>
      </c>
      <c r="H1470" s="10">
        <f t="shared" ca="1" si="93"/>
        <v>0.21914290383025636</v>
      </c>
    </row>
    <row r="1471" spans="2:8" hidden="1" x14ac:dyDescent="0.2">
      <c r="B1471" s="8">
        <v>44931</v>
      </c>
      <c r="C1471" s="9">
        <f t="shared" ca="1" si="90"/>
        <v>12336.645644728636</v>
      </c>
      <c r="D1471" s="9">
        <f t="shared" ca="1" si="92"/>
        <v>37988.115173904138</v>
      </c>
      <c r="E1471" s="10">
        <f t="shared" ca="1" si="91"/>
        <v>0.21408207403275095</v>
      </c>
      <c r="G1471" s="8">
        <v>44931</v>
      </c>
      <c r="H1471" s="10">
        <f t="shared" ca="1" si="93"/>
        <v>0.29290991351027995</v>
      </c>
    </row>
    <row r="1472" spans="2:8" hidden="1" x14ac:dyDescent="0.2">
      <c r="B1472" s="8">
        <v>44932</v>
      </c>
      <c r="C1472" s="9">
        <f t="shared" ca="1" si="90"/>
        <v>12883.803900211733</v>
      </c>
      <c r="D1472" s="9">
        <f t="shared" ca="1" si="92"/>
        <v>13728.505974111013</v>
      </c>
      <c r="E1472" s="10">
        <f t="shared" ca="1" si="91"/>
        <v>2.36686508382122E-2</v>
      </c>
      <c r="G1472" s="8">
        <v>44932</v>
      </c>
      <c r="H1472" s="10">
        <f t="shared" ca="1" si="93"/>
        <v>0.21799910218923496</v>
      </c>
    </row>
    <row r="1473" spans="2:8" hidden="1" x14ac:dyDescent="0.2">
      <c r="B1473" s="8">
        <v>44933</v>
      </c>
      <c r="C1473" s="9">
        <f t="shared" ca="1" si="90"/>
        <v>14625.383139014801</v>
      </c>
      <c r="D1473" s="9">
        <f t="shared" ca="1" si="92"/>
        <v>14283.471760606517</v>
      </c>
      <c r="E1473" s="10">
        <f t="shared" ca="1" si="91"/>
        <v>0.10623025650243605</v>
      </c>
      <c r="G1473" s="8">
        <v>44933</v>
      </c>
      <c r="H1473" s="10">
        <f t="shared" ca="1" si="93"/>
        <v>0.18650349033674105</v>
      </c>
    </row>
    <row r="1474" spans="2:8" hidden="1" x14ac:dyDescent="0.2">
      <c r="B1474" s="8">
        <v>44934</v>
      </c>
      <c r="C1474" s="9">
        <f t="shared" ca="1" si="90"/>
        <v>17630.536188947073</v>
      </c>
      <c r="D1474" s="9">
        <f t="shared" ca="1" si="92"/>
        <v>38097.285268707026</v>
      </c>
      <c r="E1474" s="10">
        <f t="shared" ca="1" si="91"/>
        <v>0.27097502369459059</v>
      </c>
      <c r="G1474" s="8">
        <v>44934</v>
      </c>
      <c r="H1474" s="10">
        <f t="shared" ca="1" si="93"/>
        <v>0.29194496525001445</v>
      </c>
    </row>
    <row r="1475" spans="2:8" hidden="1" x14ac:dyDescent="0.2">
      <c r="B1475" s="8">
        <v>44935</v>
      </c>
      <c r="C1475" s="9">
        <f t="shared" ca="1" si="90"/>
        <v>12930.96723227994</v>
      </c>
      <c r="D1475" s="9">
        <f t="shared" ca="1" si="92"/>
        <v>15941.298735696862</v>
      </c>
      <c r="E1475" s="10">
        <f t="shared" ca="1" si="91"/>
        <v>0.11173728265444038</v>
      </c>
      <c r="G1475" s="8">
        <v>44935</v>
      </c>
      <c r="H1475" s="10">
        <f t="shared" ca="1" si="93"/>
        <v>0.23956073052198412</v>
      </c>
    </row>
    <row r="1476" spans="2:8" hidden="1" x14ac:dyDescent="0.2">
      <c r="B1476" s="8">
        <v>44936</v>
      </c>
      <c r="C1476" s="9">
        <f t="shared" ca="1" si="90"/>
        <v>14219.844679215039</v>
      </c>
      <c r="D1476" s="9">
        <f t="shared" ca="1" si="92"/>
        <v>29634.552103215105</v>
      </c>
      <c r="E1476" s="10">
        <f t="shared" ca="1" si="91"/>
        <v>5.058681591938715E-2</v>
      </c>
      <c r="G1476" s="8">
        <v>44936</v>
      </c>
      <c r="H1476" s="10">
        <f t="shared" ca="1" si="93"/>
        <v>0.34244156009632543</v>
      </c>
    </row>
    <row r="1477" spans="2:8" hidden="1" x14ac:dyDescent="0.2">
      <c r="B1477" s="8">
        <v>44937</v>
      </c>
      <c r="C1477" s="9">
        <f t="shared" ca="1" si="90"/>
        <v>11679.426688555863</v>
      </c>
      <c r="D1477" s="9">
        <f t="shared" ca="1" si="92"/>
        <v>12979.861371786263</v>
      </c>
      <c r="E1477" s="10">
        <f t="shared" ca="1" si="91"/>
        <v>6.5109414312001457E-2</v>
      </c>
      <c r="G1477" s="8">
        <v>44937</v>
      </c>
      <c r="H1477" s="10">
        <f t="shared" ca="1" si="93"/>
        <v>0.3671601611188407</v>
      </c>
    </row>
    <row r="1478" spans="2:8" hidden="1" x14ac:dyDescent="0.2">
      <c r="B1478" s="8">
        <v>44938</v>
      </c>
      <c r="C1478" s="9">
        <f t="shared" ca="1" si="90"/>
        <v>10752.595380563074</v>
      </c>
      <c r="D1478" s="9">
        <f t="shared" ca="1" si="92"/>
        <v>25135.056557271921</v>
      </c>
      <c r="E1478" s="10">
        <f t="shared" ca="1" si="91"/>
        <v>0.26766173504621366</v>
      </c>
      <c r="G1478" s="8">
        <v>44938</v>
      </c>
      <c r="H1478" s="10">
        <f t="shared" ca="1" si="93"/>
        <v>0.29603583652920801</v>
      </c>
    </row>
    <row r="1479" spans="2:8" hidden="1" x14ac:dyDescent="0.2">
      <c r="B1479" s="8">
        <v>44939</v>
      </c>
      <c r="C1479" s="9">
        <f t="shared" ref="C1479:C1525" ca="1" si="94">RAND()*(18000-10000)+10000</f>
        <v>15863.331161886153</v>
      </c>
      <c r="D1479" s="9">
        <f t="shared" ca="1" si="92"/>
        <v>19940.466289161588</v>
      </c>
      <c r="E1479" s="10">
        <f t="shared" ref="E1479:E1525" ca="1" si="95">RAND()*(30%-0%)+0%</f>
        <v>0.12453901184077772</v>
      </c>
      <c r="G1479" s="8">
        <v>44939</v>
      </c>
      <c r="H1479" s="10">
        <f t="shared" ca="1" si="93"/>
        <v>0.11306989439636191</v>
      </c>
    </row>
    <row r="1480" spans="2:8" hidden="1" x14ac:dyDescent="0.2">
      <c r="B1480" s="8">
        <v>44940</v>
      </c>
      <c r="C1480" s="9">
        <f t="shared" ca="1" si="94"/>
        <v>13282.437896099465</v>
      </c>
      <c r="D1480" s="9">
        <f t="shared" ca="1" si="92"/>
        <v>19215.901871702219</v>
      </c>
      <c r="E1480" s="10">
        <f t="shared" ca="1" si="95"/>
        <v>8.1865453177355649E-2</v>
      </c>
      <c r="G1480" s="8">
        <v>44940</v>
      </c>
      <c r="H1480" s="10">
        <f t="shared" ca="1" si="93"/>
        <v>0.21882126612503477</v>
      </c>
    </row>
    <row r="1481" spans="2:8" hidden="1" x14ac:dyDescent="0.2">
      <c r="B1481" s="8">
        <v>44941</v>
      </c>
      <c r="C1481" s="9">
        <f t="shared" ca="1" si="94"/>
        <v>13144.716469755522</v>
      </c>
      <c r="D1481" s="9">
        <f t="shared" ca="1" si="92"/>
        <v>31097.398687888737</v>
      </c>
      <c r="E1481" s="10">
        <f t="shared" ca="1" si="95"/>
        <v>7.120691276938769E-2</v>
      </c>
      <c r="G1481" s="8">
        <v>44941</v>
      </c>
      <c r="H1481" s="10">
        <f t="shared" ca="1" si="93"/>
        <v>0.33141685396726861</v>
      </c>
    </row>
    <row r="1482" spans="2:8" hidden="1" x14ac:dyDescent="0.2">
      <c r="B1482" s="8">
        <v>44942</v>
      </c>
      <c r="C1482" s="9">
        <f t="shared" ca="1" si="94"/>
        <v>12322.894327050435</v>
      </c>
      <c r="D1482" s="9">
        <f t="shared" ca="1" si="92"/>
        <v>23512.438118196471</v>
      </c>
      <c r="E1482" s="10">
        <f t="shared" ca="1" si="95"/>
        <v>0.15049536599737015</v>
      </c>
      <c r="G1482" s="8">
        <v>44942</v>
      </c>
      <c r="H1482" s="10">
        <f t="shared" ca="1" si="93"/>
        <v>0.30068779774948501</v>
      </c>
    </row>
    <row r="1483" spans="2:8" hidden="1" x14ac:dyDescent="0.2">
      <c r="B1483" s="8">
        <v>44943</v>
      </c>
      <c r="C1483" s="9">
        <f t="shared" ca="1" si="94"/>
        <v>10188.833271076339</v>
      </c>
      <c r="D1483" s="9">
        <f t="shared" ca="1" si="92"/>
        <v>36266.719378918278</v>
      </c>
      <c r="E1483" s="10">
        <f t="shared" ca="1" si="95"/>
        <v>3.6874639321842394E-2</v>
      </c>
      <c r="G1483" s="8">
        <v>44943</v>
      </c>
      <c r="H1483" s="10">
        <f t="shared" ca="1" si="93"/>
        <v>0.36379390951208784</v>
      </c>
    </row>
    <row r="1484" spans="2:8" hidden="1" x14ac:dyDescent="0.2">
      <c r="B1484" s="8">
        <v>44944</v>
      </c>
      <c r="C1484" s="9">
        <f t="shared" ca="1" si="94"/>
        <v>15102.950231556388</v>
      </c>
      <c r="D1484" s="9">
        <f t="shared" ca="1" si="92"/>
        <v>28816.761107349554</v>
      </c>
      <c r="E1484" s="10">
        <f t="shared" ca="1" si="95"/>
        <v>8.2021374308685738E-2</v>
      </c>
      <c r="G1484" s="8">
        <v>44944</v>
      </c>
      <c r="H1484" s="10">
        <f t="shared" ca="1" si="93"/>
        <v>0.37687076346829534</v>
      </c>
    </row>
    <row r="1485" spans="2:8" hidden="1" x14ac:dyDescent="0.2">
      <c r="B1485" s="8">
        <v>44945</v>
      </c>
      <c r="C1485" s="9">
        <f t="shared" ca="1" si="94"/>
        <v>10975.856226566155</v>
      </c>
      <c r="D1485" s="9">
        <f t="shared" ca="1" si="92"/>
        <v>38420.162444025911</v>
      </c>
      <c r="E1485" s="10">
        <f t="shared" ca="1" si="95"/>
        <v>7.1946943893470991E-2</v>
      </c>
      <c r="G1485" s="8">
        <v>44945</v>
      </c>
      <c r="H1485" s="10">
        <f t="shared" ca="1" si="93"/>
        <v>0.26928252693796234</v>
      </c>
    </row>
    <row r="1486" spans="2:8" hidden="1" x14ac:dyDescent="0.2">
      <c r="B1486" s="8">
        <v>44946</v>
      </c>
      <c r="C1486" s="9">
        <f t="shared" ca="1" si="94"/>
        <v>10226.011703430331</v>
      </c>
      <c r="D1486" s="9">
        <f t="shared" ca="1" si="92"/>
        <v>11928.557591735142</v>
      </c>
      <c r="E1486" s="10">
        <f t="shared" ca="1" si="95"/>
        <v>0.29255894624067974</v>
      </c>
      <c r="G1486" s="8">
        <v>44946</v>
      </c>
      <c r="H1486" s="10">
        <f t="shared" ca="1" si="93"/>
        <v>0.29688717132579179</v>
      </c>
    </row>
    <row r="1487" spans="2:8" hidden="1" x14ac:dyDescent="0.2">
      <c r="B1487" s="8">
        <v>44947</v>
      </c>
      <c r="C1487" s="9">
        <f t="shared" ca="1" si="94"/>
        <v>17891.929949619793</v>
      </c>
      <c r="D1487" s="9">
        <f t="shared" ref="D1487:D1497" ca="1" si="96">RAND()*(40000-10000)+10000</f>
        <v>11436.696014484352</v>
      </c>
      <c r="E1487" s="10">
        <f t="shared" ca="1" si="95"/>
        <v>0.14072933737276774</v>
      </c>
      <c r="G1487" s="8">
        <v>44947</v>
      </c>
      <c r="H1487" s="10">
        <f t="shared" ref="H1487:H1525" ca="1" si="97">RAND()*(40%-8%)+8%</f>
        <v>0.31488820132724954</v>
      </c>
    </row>
    <row r="1488" spans="2:8" hidden="1" x14ac:dyDescent="0.2">
      <c r="B1488" s="8">
        <v>44948</v>
      </c>
      <c r="C1488" s="9">
        <f t="shared" ca="1" si="94"/>
        <v>10597.429926560522</v>
      </c>
      <c r="D1488" s="9">
        <f t="shared" ca="1" si="96"/>
        <v>15086.610850316032</v>
      </c>
      <c r="E1488" s="10">
        <f t="shared" ca="1" si="95"/>
        <v>0.16127914810900121</v>
      </c>
      <c r="G1488" s="8">
        <v>44948</v>
      </c>
      <c r="H1488" s="10">
        <f t="shared" ca="1" si="97"/>
        <v>0.24384839710074241</v>
      </c>
    </row>
    <row r="1489" spans="2:8" hidden="1" x14ac:dyDescent="0.2">
      <c r="B1489" s="8">
        <v>44949</v>
      </c>
      <c r="C1489" s="9">
        <f t="shared" ca="1" si="94"/>
        <v>12258.652194740975</v>
      </c>
      <c r="D1489" s="9">
        <f t="shared" ca="1" si="96"/>
        <v>27458.43859789371</v>
      </c>
      <c r="E1489" s="10">
        <f t="shared" ca="1" si="95"/>
        <v>0.24887080292778371</v>
      </c>
      <c r="G1489" s="8">
        <v>44949</v>
      </c>
      <c r="H1489" s="10">
        <f t="shared" ca="1" si="97"/>
        <v>0.13160038180015599</v>
      </c>
    </row>
    <row r="1490" spans="2:8" hidden="1" x14ac:dyDescent="0.2">
      <c r="B1490" s="8">
        <v>44950</v>
      </c>
      <c r="C1490" s="9">
        <f t="shared" ca="1" si="94"/>
        <v>16091.687584950083</v>
      </c>
      <c r="D1490" s="9">
        <f t="shared" ca="1" si="96"/>
        <v>25700.742498013416</v>
      </c>
      <c r="E1490" s="10">
        <f t="shared" ca="1" si="95"/>
        <v>0.28995263812598066</v>
      </c>
      <c r="G1490" s="8">
        <v>44950</v>
      </c>
      <c r="H1490" s="10">
        <f t="shared" ca="1" si="97"/>
        <v>0.33268406783021287</v>
      </c>
    </row>
    <row r="1491" spans="2:8" hidden="1" x14ac:dyDescent="0.2">
      <c r="B1491" s="8">
        <v>44951</v>
      </c>
      <c r="C1491" s="9">
        <f t="shared" ca="1" si="94"/>
        <v>14730.607688543081</v>
      </c>
      <c r="D1491" s="9">
        <f t="shared" ca="1" si="96"/>
        <v>36317.00271338757</v>
      </c>
      <c r="E1491" s="10">
        <f t="shared" ca="1" si="95"/>
        <v>0.26675458782966593</v>
      </c>
      <c r="G1491" s="8">
        <v>44951</v>
      </c>
      <c r="H1491" s="10">
        <f t="shared" ca="1" si="97"/>
        <v>0.18392814816555497</v>
      </c>
    </row>
    <row r="1492" spans="2:8" hidden="1" x14ac:dyDescent="0.2">
      <c r="B1492" s="8">
        <v>44952</v>
      </c>
      <c r="C1492" s="9">
        <f t="shared" ca="1" si="94"/>
        <v>12712.589563172887</v>
      </c>
      <c r="D1492" s="9">
        <f t="shared" ca="1" si="96"/>
        <v>23261.838280871394</v>
      </c>
      <c r="E1492" s="10">
        <f t="shared" ca="1" si="95"/>
        <v>0.2068171441052751</v>
      </c>
      <c r="G1492" s="8">
        <v>44952</v>
      </c>
      <c r="H1492" s="10">
        <f t="shared" ca="1" si="97"/>
        <v>0.36329827493049155</v>
      </c>
    </row>
    <row r="1493" spans="2:8" hidden="1" x14ac:dyDescent="0.2">
      <c r="B1493" s="8">
        <v>44953</v>
      </c>
      <c r="C1493" s="9">
        <f t="shared" ca="1" si="94"/>
        <v>16601.872340154765</v>
      </c>
      <c r="D1493" s="9">
        <f t="shared" ca="1" si="96"/>
        <v>30500.557747543968</v>
      </c>
      <c r="E1493" s="10">
        <f t="shared" ca="1" si="95"/>
        <v>4.9061792306031478E-2</v>
      </c>
      <c r="G1493" s="8">
        <v>44953</v>
      </c>
      <c r="H1493" s="10">
        <f t="shared" ca="1" si="97"/>
        <v>0.1179100961403747</v>
      </c>
    </row>
    <row r="1494" spans="2:8" hidden="1" x14ac:dyDescent="0.2">
      <c r="B1494" s="8">
        <v>44954</v>
      </c>
      <c r="C1494" s="9">
        <f t="shared" ca="1" si="94"/>
        <v>16415.222229832467</v>
      </c>
      <c r="D1494" s="9">
        <f t="shared" ca="1" si="96"/>
        <v>19466.266035910805</v>
      </c>
      <c r="E1494" s="10">
        <f t="shared" ca="1" si="95"/>
        <v>0.20384209043469734</v>
      </c>
      <c r="G1494" s="8">
        <v>44954</v>
      </c>
      <c r="H1494" s="10">
        <f t="shared" ca="1" si="97"/>
        <v>0.32855767390959134</v>
      </c>
    </row>
    <row r="1495" spans="2:8" hidden="1" x14ac:dyDescent="0.2">
      <c r="B1495" s="8">
        <v>44955</v>
      </c>
      <c r="C1495" s="9">
        <f t="shared" ca="1" si="94"/>
        <v>16555.298836754941</v>
      </c>
      <c r="D1495" s="9">
        <f t="shared" ca="1" si="96"/>
        <v>23922.749751356056</v>
      </c>
      <c r="E1495" s="10">
        <f t="shared" ca="1" si="95"/>
        <v>0.18735644039870233</v>
      </c>
      <c r="G1495" s="8">
        <v>44955</v>
      </c>
      <c r="H1495" s="10">
        <f t="shared" ca="1" si="97"/>
        <v>0.26917431792191759</v>
      </c>
    </row>
    <row r="1496" spans="2:8" hidden="1" x14ac:dyDescent="0.2">
      <c r="B1496" s="8">
        <v>44956</v>
      </c>
      <c r="C1496" s="9">
        <f t="shared" ca="1" si="94"/>
        <v>12559.963702497676</v>
      </c>
      <c r="D1496" s="9">
        <f t="shared" ca="1" si="96"/>
        <v>38730.602208877106</v>
      </c>
      <c r="E1496" s="10">
        <f t="shared" ca="1" si="95"/>
        <v>4.7847743637763805E-2</v>
      </c>
      <c r="G1496" s="8">
        <v>44956</v>
      </c>
      <c r="H1496" s="10">
        <f t="shared" ca="1" si="97"/>
        <v>0.15554510901368429</v>
      </c>
    </row>
    <row r="1497" spans="2:8" x14ac:dyDescent="0.2">
      <c r="B1497" s="8">
        <v>44957</v>
      </c>
      <c r="C1497" s="9">
        <f t="shared" ca="1" si="94"/>
        <v>14735.173595850985</v>
      </c>
      <c r="D1497" s="9">
        <f t="shared" ca="1" si="96"/>
        <v>20656.627604557507</v>
      </c>
      <c r="E1497" s="10">
        <f t="shared" ca="1" si="95"/>
        <v>0.17540013456378087</v>
      </c>
      <c r="G1497" s="8">
        <v>44957</v>
      </c>
      <c r="H1497" s="10">
        <f t="shared" ca="1" si="97"/>
        <v>0.13504197379669253</v>
      </c>
    </row>
    <row r="1498" spans="2:8" hidden="1" x14ac:dyDescent="0.2">
      <c r="B1498" s="8">
        <v>44958</v>
      </c>
      <c r="C1498" s="9">
        <f t="shared" ca="1" si="94"/>
        <v>15694.784899961956</v>
      </c>
      <c r="D1498" s="9"/>
      <c r="E1498" s="10">
        <f t="shared" ca="1" si="95"/>
        <v>5.1492647588108474E-2</v>
      </c>
      <c r="G1498" s="8">
        <v>44958</v>
      </c>
      <c r="H1498" s="10">
        <f t="shared" ca="1" si="97"/>
        <v>0.30027640229470931</v>
      </c>
    </row>
    <row r="1499" spans="2:8" hidden="1" x14ac:dyDescent="0.2">
      <c r="B1499" s="8">
        <v>44959</v>
      </c>
      <c r="C1499" s="9">
        <f t="shared" ca="1" si="94"/>
        <v>14581.909374079474</v>
      </c>
      <c r="D1499" s="9"/>
      <c r="E1499" s="10">
        <f t="shared" ca="1" si="95"/>
        <v>3.8193314484166553E-2</v>
      </c>
      <c r="G1499" s="8">
        <v>44959</v>
      </c>
      <c r="H1499" s="10">
        <f t="shared" ca="1" si="97"/>
        <v>0.20944634208887075</v>
      </c>
    </row>
    <row r="1500" spans="2:8" hidden="1" x14ac:dyDescent="0.2">
      <c r="B1500" s="8">
        <v>44960</v>
      </c>
      <c r="C1500" s="9">
        <f t="shared" ca="1" si="94"/>
        <v>10465.138793946107</v>
      </c>
      <c r="D1500" s="9"/>
      <c r="E1500" s="10">
        <f t="shared" ca="1" si="95"/>
        <v>9.1067654240110832E-2</v>
      </c>
      <c r="G1500" s="8">
        <v>44960</v>
      </c>
      <c r="H1500" s="10">
        <f t="shared" ca="1" si="97"/>
        <v>0.19065390703465124</v>
      </c>
    </row>
    <row r="1501" spans="2:8" hidden="1" x14ac:dyDescent="0.2">
      <c r="B1501" s="8">
        <v>44961</v>
      </c>
      <c r="C1501" s="9">
        <f t="shared" ca="1" si="94"/>
        <v>15336.409933674633</v>
      </c>
      <c r="D1501" s="9"/>
      <c r="E1501" s="10">
        <f t="shared" ca="1" si="95"/>
        <v>2.3607995911765465E-2</v>
      </c>
      <c r="G1501" s="8">
        <v>44961</v>
      </c>
      <c r="H1501" s="10">
        <f t="shared" ca="1" si="97"/>
        <v>0.37380815026412312</v>
      </c>
    </row>
    <row r="1502" spans="2:8" hidden="1" x14ac:dyDescent="0.2">
      <c r="B1502" s="8">
        <v>44962</v>
      </c>
      <c r="C1502" s="9">
        <f t="shared" ca="1" si="94"/>
        <v>13676.096650092601</v>
      </c>
      <c r="D1502" s="9"/>
      <c r="E1502" s="10">
        <f t="shared" ca="1" si="95"/>
        <v>0.27108262860709514</v>
      </c>
      <c r="G1502" s="8">
        <v>44962</v>
      </c>
      <c r="H1502" s="10">
        <f t="shared" ca="1" si="97"/>
        <v>0.29346062189352246</v>
      </c>
    </row>
    <row r="1503" spans="2:8" hidden="1" x14ac:dyDescent="0.2">
      <c r="B1503" s="8">
        <v>44963</v>
      </c>
      <c r="C1503" s="9">
        <f t="shared" ca="1" si="94"/>
        <v>14678.590923648975</v>
      </c>
      <c r="D1503" s="9"/>
      <c r="E1503" s="10">
        <f t="shared" ca="1" si="95"/>
        <v>0.19716769330916395</v>
      </c>
      <c r="G1503" s="8">
        <v>44963</v>
      </c>
      <c r="H1503" s="10">
        <f t="shared" ca="1" si="97"/>
        <v>0.10221118973555243</v>
      </c>
    </row>
    <row r="1504" spans="2:8" hidden="1" x14ac:dyDescent="0.2">
      <c r="B1504" s="8">
        <v>44964</v>
      </c>
      <c r="C1504" s="9">
        <f t="shared" ca="1" si="94"/>
        <v>11163.635015014859</v>
      </c>
      <c r="D1504" s="9"/>
      <c r="E1504" s="10">
        <f t="shared" ca="1" si="95"/>
        <v>0.16464491380070354</v>
      </c>
      <c r="G1504" s="8">
        <v>44964</v>
      </c>
      <c r="H1504" s="10">
        <f t="shared" ca="1" si="97"/>
        <v>0.32649668984819935</v>
      </c>
    </row>
    <row r="1505" spans="2:8" hidden="1" x14ac:dyDescent="0.2">
      <c r="B1505" s="8">
        <v>44965</v>
      </c>
      <c r="C1505" s="9">
        <f t="shared" ca="1" si="94"/>
        <v>12017.738045917649</v>
      </c>
      <c r="D1505" s="9"/>
      <c r="E1505" s="10">
        <f t="shared" ca="1" si="95"/>
        <v>0.18537781988517091</v>
      </c>
      <c r="G1505" s="8">
        <v>44965</v>
      </c>
      <c r="H1505" s="10">
        <f t="shared" ca="1" si="97"/>
        <v>0.37627338576447322</v>
      </c>
    </row>
    <row r="1506" spans="2:8" hidden="1" x14ac:dyDescent="0.2">
      <c r="B1506" s="8">
        <v>44966</v>
      </c>
      <c r="C1506" s="9">
        <f t="shared" ca="1" si="94"/>
        <v>17455.221887150405</v>
      </c>
      <c r="D1506" s="9"/>
      <c r="E1506" s="10">
        <f t="shared" ca="1" si="95"/>
        <v>6.7758021273684035E-2</v>
      </c>
      <c r="G1506" s="8">
        <v>44966</v>
      </c>
      <c r="H1506" s="10">
        <f t="shared" ca="1" si="97"/>
        <v>0.39944163617023243</v>
      </c>
    </row>
    <row r="1507" spans="2:8" hidden="1" x14ac:dyDescent="0.2">
      <c r="B1507" s="8">
        <v>44967</v>
      </c>
      <c r="C1507" s="9">
        <f t="shared" ca="1" si="94"/>
        <v>11667.297428807104</v>
      </c>
      <c r="D1507" s="9"/>
      <c r="E1507" s="10">
        <f t="shared" ca="1" si="95"/>
        <v>0.16932614359066839</v>
      </c>
      <c r="G1507" s="8">
        <v>44967</v>
      </c>
      <c r="H1507" s="10">
        <f t="shared" ca="1" si="97"/>
        <v>0.33227250960014315</v>
      </c>
    </row>
    <row r="1508" spans="2:8" hidden="1" x14ac:dyDescent="0.2">
      <c r="B1508" s="8">
        <v>44968</v>
      </c>
      <c r="C1508" s="9">
        <f t="shared" ca="1" si="94"/>
        <v>10564.156821112698</v>
      </c>
      <c r="D1508" s="9"/>
      <c r="E1508" s="10">
        <f t="shared" ca="1" si="95"/>
        <v>9.4822620006609973E-2</v>
      </c>
      <c r="G1508" s="8">
        <v>44968</v>
      </c>
      <c r="H1508" s="10">
        <f t="shared" ca="1" si="97"/>
        <v>0.1279229070669809</v>
      </c>
    </row>
    <row r="1509" spans="2:8" hidden="1" x14ac:dyDescent="0.2">
      <c r="B1509" s="8">
        <v>44969</v>
      </c>
      <c r="C1509" s="9">
        <f t="shared" ca="1" si="94"/>
        <v>13831.24841096706</v>
      </c>
      <c r="D1509" s="9"/>
      <c r="E1509" s="10">
        <f t="shared" ca="1" si="95"/>
        <v>0.25083691099042782</v>
      </c>
      <c r="G1509" s="8">
        <v>44969</v>
      </c>
      <c r="H1509" s="10">
        <f t="shared" ca="1" si="97"/>
        <v>0.2931217244751384</v>
      </c>
    </row>
    <row r="1510" spans="2:8" hidden="1" x14ac:dyDescent="0.2">
      <c r="B1510" s="8">
        <v>44970</v>
      </c>
      <c r="C1510" s="9">
        <f t="shared" ca="1" si="94"/>
        <v>12512.027211828119</v>
      </c>
      <c r="D1510" s="9"/>
      <c r="E1510" s="10">
        <f t="shared" ca="1" si="95"/>
        <v>0.14711399608907935</v>
      </c>
      <c r="G1510" s="8">
        <v>44970</v>
      </c>
      <c r="H1510" s="10">
        <f t="shared" ca="1" si="97"/>
        <v>0.39623941108631056</v>
      </c>
    </row>
    <row r="1511" spans="2:8" hidden="1" x14ac:dyDescent="0.2">
      <c r="B1511" s="8">
        <v>44971</v>
      </c>
      <c r="C1511" s="9">
        <f t="shared" ca="1" si="94"/>
        <v>16505.091293637721</v>
      </c>
      <c r="D1511" s="9"/>
      <c r="E1511" s="10">
        <f t="shared" ca="1" si="95"/>
        <v>8.7830354609702024E-2</v>
      </c>
      <c r="G1511" s="8">
        <v>44971</v>
      </c>
      <c r="H1511" s="10">
        <f t="shared" ca="1" si="97"/>
        <v>0.25798705996340277</v>
      </c>
    </row>
    <row r="1512" spans="2:8" hidden="1" x14ac:dyDescent="0.2">
      <c r="B1512" s="8">
        <v>44972</v>
      </c>
      <c r="C1512" s="9">
        <f t="shared" ca="1" si="94"/>
        <v>11784.177113413192</v>
      </c>
      <c r="D1512" s="9"/>
      <c r="E1512" s="10">
        <f t="shared" ca="1" si="95"/>
        <v>0.16494356233297075</v>
      </c>
      <c r="G1512" s="8">
        <v>44972</v>
      </c>
      <c r="H1512" s="10">
        <f t="shared" ca="1" si="97"/>
        <v>0.17840561055042981</v>
      </c>
    </row>
    <row r="1513" spans="2:8" hidden="1" x14ac:dyDescent="0.2">
      <c r="B1513" s="8">
        <v>44973</v>
      </c>
      <c r="C1513" s="9">
        <f t="shared" ca="1" si="94"/>
        <v>12692.134651860504</v>
      </c>
      <c r="D1513" s="9"/>
      <c r="E1513" s="10">
        <f t="shared" ca="1" si="95"/>
        <v>3.6254470444645304E-2</v>
      </c>
      <c r="G1513" s="8">
        <v>44973</v>
      </c>
      <c r="H1513" s="10">
        <f t="shared" ca="1" si="97"/>
        <v>0.26746798359644935</v>
      </c>
    </row>
    <row r="1514" spans="2:8" hidden="1" x14ac:dyDescent="0.2">
      <c r="B1514" s="8">
        <v>44974</v>
      </c>
      <c r="C1514" s="9">
        <f t="shared" ca="1" si="94"/>
        <v>10466.05452013132</v>
      </c>
      <c r="D1514" s="9"/>
      <c r="E1514" s="10">
        <f t="shared" ca="1" si="95"/>
        <v>5.46013902966258E-4</v>
      </c>
      <c r="G1514" s="8">
        <v>44974</v>
      </c>
      <c r="H1514" s="10">
        <f t="shared" ca="1" si="97"/>
        <v>9.7006669816790778E-2</v>
      </c>
    </row>
    <row r="1515" spans="2:8" hidden="1" x14ac:dyDescent="0.2">
      <c r="B1515" s="8">
        <v>44975</v>
      </c>
      <c r="C1515" s="9">
        <f t="shared" ca="1" si="94"/>
        <v>17933.594153645859</v>
      </c>
      <c r="D1515" s="9"/>
      <c r="E1515" s="10">
        <f t="shared" ca="1" si="95"/>
        <v>1.3893837830305488E-2</v>
      </c>
      <c r="G1515" s="8">
        <v>44975</v>
      </c>
      <c r="H1515" s="10">
        <f t="shared" ca="1" si="97"/>
        <v>0.22667669880632724</v>
      </c>
    </row>
    <row r="1516" spans="2:8" hidden="1" x14ac:dyDescent="0.2">
      <c r="B1516" s="8">
        <v>44976</v>
      </c>
      <c r="C1516" s="9">
        <f t="shared" ca="1" si="94"/>
        <v>17052.411014140926</v>
      </c>
      <c r="D1516" s="9"/>
      <c r="E1516" s="10">
        <f t="shared" ca="1" si="95"/>
        <v>4.9750563231249753E-2</v>
      </c>
      <c r="G1516" s="8">
        <v>44976</v>
      </c>
      <c r="H1516" s="10">
        <f t="shared" ca="1" si="97"/>
        <v>0.12673973459583285</v>
      </c>
    </row>
    <row r="1517" spans="2:8" hidden="1" x14ac:dyDescent="0.2">
      <c r="B1517" s="8">
        <v>44977</v>
      </c>
      <c r="C1517" s="9">
        <f t="shared" ca="1" si="94"/>
        <v>14588.073264141422</v>
      </c>
      <c r="D1517" s="9"/>
      <c r="E1517" s="10">
        <f t="shared" ca="1" si="95"/>
        <v>0.15553123437667782</v>
      </c>
      <c r="G1517" s="8">
        <v>44977</v>
      </c>
      <c r="H1517" s="10">
        <f t="shared" ca="1" si="97"/>
        <v>0.22583077432476695</v>
      </c>
    </row>
    <row r="1518" spans="2:8" hidden="1" x14ac:dyDescent="0.2">
      <c r="B1518" s="8">
        <v>44978</v>
      </c>
      <c r="C1518" s="9">
        <f t="shared" ca="1" si="94"/>
        <v>11813.297703525839</v>
      </c>
      <c r="D1518" s="9"/>
      <c r="E1518" s="10">
        <f t="shared" ca="1" si="95"/>
        <v>2.9491970852074889E-2</v>
      </c>
      <c r="G1518" s="8">
        <v>44978</v>
      </c>
      <c r="H1518" s="10">
        <f t="shared" ca="1" si="97"/>
        <v>0.30978832893258335</v>
      </c>
    </row>
    <row r="1519" spans="2:8" hidden="1" x14ac:dyDescent="0.2">
      <c r="B1519" s="8">
        <v>44979</v>
      </c>
      <c r="C1519" s="9">
        <f t="shared" ca="1" si="94"/>
        <v>10396.439103556539</v>
      </c>
      <c r="D1519" s="9"/>
      <c r="E1519" s="10">
        <f t="shared" ca="1" si="95"/>
        <v>2.5166923514010297E-2</v>
      </c>
      <c r="G1519" s="8">
        <v>44979</v>
      </c>
      <c r="H1519" s="10">
        <f t="shared" ca="1" si="97"/>
        <v>0.14543007535555841</v>
      </c>
    </row>
    <row r="1520" spans="2:8" hidden="1" x14ac:dyDescent="0.2">
      <c r="B1520" s="8">
        <v>44980</v>
      </c>
      <c r="C1520" s="9">
        <f t="shared" ca="1" si="94"/>
        <v>15472.52274812193</v>
      </c>
      <c r="D1520" s="9"/>
      <c r="E1520" s="10">
        <f t="shared" ca="1" si="95"/>
        <v>0.21880497867089857</v>
      </c>
      <c r="G1520" s="8">
        <v>44980</v>
      </c>
      <c r="H1520" s="10">
        <f t="shared" ca="1" si="97"/>
        <v>0.11145284521944504</v>
      </c>
    </row>
    <row r="1521" spans="2:8" hidden="1" x14ac:dyDescent="0.2">
      <c r="B1521" s="8">
        <v>44981</v>
      </c>
      <c r="C1521" s="9">
        <f t="shared" ca="1" si="94"/>
        <v>14832.141437063201</v>
      </c>
      <c r="D1521" s="9"/>
      <c r="E1521" s="10">
        <f t="shared" ca="1" si="95"/>
        <v>0.1198590653563156</v>
      </c>
      <c r="G1521" s="8">
        <v>44981</v>
      </c>
      <c r="H1521" s="10">
        <f t="shared" ca="1" si="97"/>
        <v>0.36286141206833894</v>
      </c>
    </row>
    <row r="1522" spans="2:8" hidden="1" x14ac:dyDescent="0.2">
      <c r="B1522" s="8">
        <v>44982</v>
      </c>
      <c r="C1522" s="9">
        <f t="shared" ca="1" si="94"/>
        <v>13437.467159693322</v>
      </c>
      <c r="D1522" s="9"/>
      <c r="E1522" s="10">
        <f t="shared" ca="1" si="95"/>
        <v>0.25694951639545965</v>
      </c>
      <c r="G1522" s="8">
        <v>44982</v>
      </c>
      <c r="H1522" s="10">
        <f t="shared" ca="1" si="97"/>
        <v>0.3246208513732442</v>
      </c>
    </row>
    <row r="1523" spans="2:8" hidden="1" x14ac:dyDescent="0.2">
      <c r="B1523" s="8">
        <v>44983</v>
      </c>
      <c r="C1523" s="9">
        <f t="shared" ca="1" si="94"/>
        <v>15528.016391266625</v>
      </c>
      <c r="D1523" s="9"/>
      <c r="E1523" s="10">
        <f t="shared" ca="1" si="95"/>
        <v>0.27792545129211121</v>
      </c>
      <c r="G1523" s="8">
        <v>44983</v>
      </c>
      <c r="H1523" s="10">
        <f t="shared" ca="1" si="97"/>
        <v>0.3529566496987413</v>
      </c>
    </row>
    <row r="1524" spans="2:8" hidden="1" x14ac:dyDescent="0.2">
      <c r="B1524" s="8">
        <v>44984</v>
      </c>
      <c r="C1524" s="9">
        <f t="shared" ca="1" si="94"/>
        <v>17665.172787077536</v>
      </c>
      <c r="D1524" s="9"/>
      <c r="E1524" s="10">
        <f t="shared" ca="1" si="95"/>
        <v>0.10114058918566933</v>
      </c>
      <c r="G1524" s="8">
        <v>44984</v>
      </c>
      <c r="H1524" s="10">
        <f t="shared" ca="1" si="97"/>
        <v>0.12556055069211031</v>
      </c>
    </row>
    <row r="1525" spans="2:8" hidden="1" x14ac:dyDescent="0.2">
      <c r="B1525" s="8">
        <v>44985</v>
      </c>
      <c r="C1525" s="9">
        <f t="shared" ca="1" si="94"/>
        <v>13024.215130773006</v>
      </c>
      <c r="D1525" s="9"/>
      <c r="E1525" s="10">
        <f t="shared" ca="1" si="95"/>
        <v>0.2517914002801695</v>
      </c>
      <c r="G1525" s="8">
        <v>44985</v>
      </c>
      <c r="H1525" s="10">
        <f t="shared" ca="1" si="97"/>
        <v>0.29262183034622885</v>
      </c>
    </row>
  </sheetData>
  <mergeCells count="2">
    <mergeCell ref="B2:B3"/>
    <mergeCell ref="G2:G3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Recursos invertidos</vt:lpstr>
      <vt:lpstr>Fuente</vt:lpstr>
      <vt:lpstr>Unidades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MAURICIO RAMIREZ DIAZ</dc:creator>
  <cp:lastModifiedBy>alex sarmiento</cp:lastModifiedBy>
  <dcterms:created xsi:type="dcterms:W3CDTF">2015-08-31T20:09:51Z</dcterms:created>
  <dcterms:modified xsi:type="dcterms:W3CDTF">2024-02-25T14:35:25Z</dcterms:modified>
</cp:coreProperties>
</file>